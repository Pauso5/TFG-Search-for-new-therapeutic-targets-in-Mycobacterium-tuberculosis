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uss\Desktop\Apunts\TFG\Rstudio\"/>
    </mc:Choice>
  </mc:AlternateContent>
  <xr:revisionPtr revIDLastSave="0" documentId="8_{529E9CDC-C827-44C5-8379-614C04DAC2F8}" xr6:coauthVersionLast="47" xr6:coauthVersionMax="47" xr10:uidLastSave="{00000000-0000-0000-0000-000000000000}"/>
  <bookViews>
    <workbookView xWindow="-28920" yWindow="-120" windowWidth="29040" windowHeight="15720" xr2:uid="{1E65DC9E-9491-4EBA-BCA3-82CEC1D28481}"/>
  </bookViews>
  <sheets>
    <sheet name="Taula cepes" sheetId="1" r:id="rId1"/>
    <sheet name="Llinatges i factors" sheetId="2" r:id="rId2"/>
    <sheet name="Antibiotics prediction (BV-BCR)" sheetId="5" r:id="rId3"/>
  </sheets>
  <definedNames>
    <definedName name="DatosExternos_1" localSheetId="0" hidden="1">'Taula cepes'!$A$1:$W$30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5" l="1"/>
  <c r="Y3" i="5"/>
  <c r="Y6" i="5"/>
  <c r="Y4" i="5"/>
  <c r="Y10" i="5"/>
  <c r="Y7" i="5"/>
  <c r="Y11" i="5"/>
  <c r="Y12" i="5"/>
  <c r="Y13" i="5"/>
  <c r="Y14" i="5"/>
  <c r="Y15" i="5"/>
  <c r="Y16" i="5"/>
  <c r="Y17" i="5"/>
  <c r="Y9" i="5"/>
  <c r="Y18" i="5"/>
  <c r="Y19" i="5"/>
  <c r="Y20" i="5"/>
  <c r="Y21" i="5"/>
  <c r="Y22" i="5"/>
  <c r="Y8" i="5"/>
  <c r="Y5" i="5"/>
  <c r="Y23" i="5"/>
  <c r="Y24" i="5"/>
  <c r="Y25" i="5"/>
  <c r="Y26" i="5"/>
  <c r="Y27" i="5"/>
  <c r="Y28" i="5"/>
  <c r="Y29" i="5"/>
  <c r="Y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Q6" i="1"/>
  <c r="Q5" i="1"/>
  <c r="Q3" i="1"/>
  <c r="Q7" i="1"/>
  <c r="Q8" i="1"/>
  <c r="Q9" i="1"/>
  <c r="Q10" i="1"/>
  <c r="Q11" i="1"/>
  <c r="Q12" i="1"/>
  <c r="Q13" i="1"/>
  <c r="Q2" i="1"/>
  <c r="P3" i="1"/>
  <c r="P5" i="1"/>
  <c r="P6" i="1"/>
  <c r="P7" i="1"/>
  <c r="P8" i="1"/>
  <c r="P9" i="1"/>
  <c r="P10" i="1"/>
  <c r="P11" i="1"/>
  <c r="P12" i="1"/>
  <c r="P13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239903-034B-4B75-8CC4-499BDDCB9C86}" keepAlive="1" name="Consulta - M_genitalium-ncbidataset-table tab" description="Conexión a la consulta 'M_genitalium-ncbidataset-table tab' en el libro." type="5" refreshedVersion="8" background="1" saveData="1">
    <dbPr connection="Provider=Microsoft.Mashup.OleDb.1;Data Source=$Workbook$;Location=&quot;M_genitalium-ncbidataset-table tab&quot;;Extended Properties=&quot;&quot;" command="SELECT * FROM [M_genitalium-ncbidataset-table tab]"/>
  </connection>
  <connection id="2" xr16:uid="{AF616C3A-75E8-4BDC-ABCB-DBD77E384B32}" keepAlive="1" name="Consulta - M_genitalium-ncbidataset-table tab (2)" description="Conexión a la consulta 'M_genitalium-ncbidataset-table tab (2)' en el libro." type="5" refreshedVersion="8" background="1" saveData="1">
    <dbPr connection="Provider=Microsoft.Mashup.OleDb.1;Data Source=$Workbook$;Location=&quot;M_genitalium-ncbidataset-table tab (2)&quot;;Extended Properties=&quot;&quot;" command="SELECT * FROM [M_genitalium-ncbidataset-table tab (2)]"/>
  </connection>
</connections>
</file>

<file path=xl/sharedStrings.xml><?xml version="1.0" encoding="utf-8"?>
<sst xmlns="http://schemas.openxmlformats.org/spreadsheetml/2006/main" count="1303" uniqueCount="355">
  <si>
    <t>Organism Name</t>
  </si>
  <si>
    <t>Organism Infraspecific Names Strain</t>
  </si>
  <si>
    <t>Organism Infraspecific Names Isolate</t>
  </si>
  <si>
    <t>Organism Infraspecific Names Cultivar</t>
  </si>
  <si>
    <t>Organism Infraspecific Names Breed</t>
  </si>
  <si>
    <t>Assembly Name</t>
  </si>
  <si>
    <t>Assembly Accession</t>
  </si>
  <si>
    <t>Current Accession</t>
  </si>
  <si>
    <t>Assembly Paired Assembly Accession</t>
  </si>
  <si>
    <t>WGS project accession</t>
  </si>
  <si>
    <t>Assembly BioSample Accession</t>
  </si>
  <si>
    <t>Assembly BioProject Accession</t>
  </si>
  <si>
    <t>Assembly Level</t>
  </si>
  <si>
    <t>Assembly Stats Total Sequence Length</t>
  </si>
  <si>
    <t>Assembly Stats Number of Contigs</t>
  </si>
  <si>
    <t>Assembly Stats Contig N50</t>
  </si>
  <si>
    <t>Assembly Stats Scaffold N50</t>
  </si>
  <si>
    <t>Assembly Stats Contig L50</t>
  </si>
  <si>
    <t>Assembly Stats Scaffold L50</t>
  </si>
  <si>
    <t>Annotation Count Gene Total</t>
  </si>
  <si>
    <t>Annotation Count Gene Protein-coding</t>
  </si>
  <si>
    <t>Annotation Release Date</t>
  </si>
  <si>
    <t>CheckM completeness</t>
  </si>
  <si>
    <t>Complete Genome</t>
  </si>
  <si>
    <t>Chromosome</t>
  </si>
  <si>
    <t>Mycobacterium tuberculosis</t>
  </si>
  <si>
    <t>H37Rv</t>
  </si>
  <si>
    <t>CDC1551</t>
  </si>
  <si>
    <t>F11</t>
  </si>
  <si>
    <t>7199-99</t>
  </si>
  <si>
    <t>ASM27773v2</t>
  </si>
  <si>
    <t>GCF_000195955.2</t>
  </si>
  <si>
    <t>GCA_000195955.2</t>
  </si>
  <si>
    <t>SAMEA3138326</t>
  </si>
  <si>
    <t>PRJNA224</t>
  </si>
  <si>
    <t>CCDC5079</t>
  </si>
  <si>
    <t>CCDC5180</t>
  </si>
  <si>
    <t>Haarlem lineage</t>
  </si>
  <si>
    <t>97.78</t>
  </si>
  <si>
    <t>Erdman (ATCC 35801)</t>
  </si>
  <si>
    <t>Valafar_Erdman 1.0</t>
  </si>
  <si>
    <t>GCF_049959555.1</t>
  </si>
  <si>
    <t>GCA_049959555.1</t>
  </si>
  <si>
    <t>SAMN47942811</t>
  </si>
  <si>
    <t>PRJNA1250540</t>
  </si>
  <si>
    <t>97.17</t>
  </si>
  <si>
    <t>ASM1692v1</t>
  </si>
  <si>
    <t>GCF_000016925.1</t>
  </si>
  <si>
    <t>GCA_000016925.1</t>
  </si>
  <si>
    <t>SAMN00103286</t>
  </si>
  <si>
    <t>PRJNA15642</t>
  </si>
  <si>
    <t>97.63</t>
  </si>
  <si>
    <t>KZN 1435</t>
  </si>
  <si>
    <t>ASM2362v1</t>
  </si>
  <si>
    <t>GCF_000023625.1</t>
  </si>
  <si>
    <t>GCA_000023625.1</t>
  </si>
  <si>
    <t>SAMN00763683</t>
  </si>
  <si>
    <t>PRJNA21055</t>
  </si>
  <si>
    <t>96.95</t>
  </si>
  <si>
    <t>KZN 605</t>
  </si>
  <si>
    <t>ASM15460v2</t>
  </si>
  <si>
    <t>GCF_000154605.2</t>
  </si>
  <si>
    <t>GCA_000154605.2</t>
  </si>
  <si>
    <t>SAMN00103288</t>
  </si>
  <si>
    <t>PRJNA21057</t>
  </si>
  <si>
    <t>96.73</t>
  </si>
  <si>
    <t>ASM33144v1</t>
  </si>
  <si>
    <t>GCF_000331445.1</t>
  </si>
  <si>
    <t>GCA_000331445.1</t>
  </si>
  <si>
    <t>SAMEA2272730</t>
  </si>
  <si>
    <t>PRJEA82273</t>
  </si>
  <si>
    <t>96.75</t>
  </si>
  <si>
    <t>R1207</t>
  </si>
  <si>
    <t>ASM18400v1</t>
  </si>
  <si>
    <t>GCF_000184005.1</t>
  </si>
  <si>
    <t>GCA_000184005.1</t>
  </si>
  <si>
    <t>SAMN02471088</t>
  </si>
  <si>
    <t>PRJNA46665</t>
  </si>
  <si>
    <t>97.46</t>
  </si>
  <si>
    <t>ASM57219v1</t>
  </si>
  <si>
    <t>GCF_000572195.1</t>
  </si>
  <si>
    <t>GCA_000572195.1</t>
  </si>
  <si>
    <t>SAMN03081432</t>
  </si>
  <si>
    <t>PRJNA66071</t>
  </si>
  <si>
    <t>97.64</t>
  </si>
  <si>
    <t>ASM40061v1</t>
  </si>
  <si>
    <t>GCF_000400615.1</t>
  </si>
  <si>
    <t>GCA_000400615.1</t>
  </si>
  <si>
    <t>SAMN02603646</t>
  </si>
  <si>
    <t>PRJNA66069</t>
  </si>
  <si>
    <t>97.58</t>
  </si>
  <si>
    <t>EAI5</t>
  </si>
  <si>
    <t>ASM42212v1</t>
  </si>
  <si>
    <t>GCF_000422125.1</t>
  </si>
  <si>
    <t>GCA_000422125.1</t>
  </si>
  <si>
    <t>SAMN02603180</t>
  </si>
  <si>
    <t>PRJNA210717</t>
  </si>
  <si>
    <t>97.43</t>
  </si>
  <si>
    <t>ASM15368v2</t>
  </si>
  <si>
    <t>GCF_000153685.2</t>
  </si>
  <si>
    <t>GCA_000153685.2</t>
  </si>
  <si>
    <t>SAMN03081423</t>
  </si>
  <si>
    <t>PRJNA17353</t>
  </si>
  <si>
    <t>97.3</t>
  </si>
  <si>
    <t>ASM18404v1</t>
  </si>
  <si>
    <t>GCF_000184045.1</t>
  </si>
  <si>
    <t>GCA_000184045.1</t>
  </si>
  <si>
    <t>SAMN02471041</t>
  </si>
  <si>
    <t>PRJNA46669</t>
  </si>
  <si>
    <t>ADNH01</t>
  </si>
  <si>
    <t>HN878</t>
  </si>
  <si>
    <t>Resistència Antibiòtics</t>
  </si>
  <si>
    <t>Llinatge</t>
  </si>
  <si>
    <t>GM041182</t>
  </si>
  <si>
    <t>Aethiop_vetus_229</t>
  </si>
  <si>
    <t>GCF_001049395.1</t>
  </si>
  <si>
    <t>GCA_001049395.1</t>
  </si>
  <si>
    <t>CEFL01</t>
  </si>
  <si>
    <t>SAMEA3246143</t>
  </si>
  <si>
    <t>PRJEB8432</t>
  </si>
  <si>
    <t>Scaffold</t>
  </si>
  <si>
    <t>96.96</t>
  </si>
  <si>
    <t>ASM1292376v1</t>
  </si>
  <si>
    <t>GCF_012923765.1</t>
  </si>
  <si>
    <t>GCA_012923765.1</t>
  </si>
  <si>
    <t>RW-TB008</t>
  </si>
  <si>
    <t>PRJNA598991</t>
  </si>
  <si>
    <t>SAMN13736268</t>
  </si>
  <si>
    <t> 96.63</t>
  </si>
  <si>
    <t>Apr 28, 2020</t>
  </si>
  <si>
    <t xml:space="preserve"> </t>
  </si>
  <si>
    <t>ASM2155989v1</t>
  </si>
  <si>
    <t>GCF_021559895.1</t>
  </si>
  <si>
    <t>GCA_021559895.1</t>
  </si>
  <si>
    <t>PRJNA641267</t>
  </si>
  <si>
    <t>Jan 24, 2022</t>
  </si>
  <si>
    <t> 97.24</t>
  </si>
  <si>
    <t>ASM25335v1</t>
  </si>
  <si>
    <t>GCF_000253355.1</t>
  </si>
  <si>
    <t>GCA_000253355.1</t>
  </si>
  <si>
    <t>PRJEA68095</t>
  </si>
  <si>
    <t>SAMEA2272165</t>
  </si>
  <si>
    <t>96.32</t>
  </si>
  <si>
    <t>Jul 5, 2011</t>
  </si>
  <si>
    <t>ASM97218v1</t>
  </si>
  <si>
    <t>NZ3DS1</t>
  </si>
  <si>
    <t>GCF_000972185.1</t>
  </si>
  <si>
    <t>GCA_000972185.1</t>
  </si>
  <si>
    <t>SAMN03372109</t>
  </si>
  <si>
    <t>JZDR01</t>
  </si>
  <si>
    <t>PRJNA276274</t>
  </si>
  <si>
    <t>Contig</t>
  </si>
  <si>
    <t>96.7</t>
  </si>
  <si>
    <t>Apr 15, 2015</t>
  </si>
  <si>
    <t>HN-024</t>
  </si>
  <si>
    <t>SIT745/EAI1-MYS</t>
  </si>
  <si>
    <t>ASM235625v1</t>
  </si>
  <si>
    <t>GCF_002356255.1</t>
  </si>
  <si>
    <t>GCA_002356255.1</t>
  </si>
  <si>
    <t>PRJDB5608</t>
  </si>
  <si>
    <t>SAMD00076259</t>
  </si>
  <si>
    <t>SAMN15348336</t>
  </si>
  <si>
    <t>Apr 25, 2017</t>
  </si>
  <si>
    <t>ASM159764v2</t>
  </si>
  <si>
    <t>GCF_001597645.2</t>
  </si>
  <si>
    <t>GCA_001597645.2</t>
  </si>
  <si>
    <t>SAMN04492771</t>
  </si>
  <si>
    <t>PRJNA312026</t>
  </si>
  <si>
    <t xml:space="preserve">	Dec 11, 2019</t>
  </si>
  <si>
    <t>Beijing modern</t>
  </si>
  <si>
    <t>HN-205</t>
  </si>
  <si>
    <t>HN-321</t>
  </si>
  <si>
    <t>W-148</t>
  </si>
  <si>
    <t>97.51</t>
  </si>
  <si>
    <t>ASM235793v1</t>
  </si>
  <si>
    <t>GCF_002357935.1</t>
  </si>
  <si>
    <t>GCA_002357935.1</t>
  </si>
  <si>
    <t>PRJDB5607</t>
  </si>
  <si>
    <t>SAMD00076256</t>
  </si>
  <si>
    <t xml:space="preserve">	May 10, 2017</t>
  </si>
  <si>
    <t>GCF_002357955.1</t>
  </si>
  <si>
    <t>GCA_002357955.1</t>
  </si>
  <si>
    <t>ASM235795v1</t>
  </si>
  <si>
    <t>SAMD00076257</t>
  </si>
  <si>
    <t>May 10, 2017</t>
  </si>
  <si>
    <t>ASM19318v2</t>
  </si>
  <si>
    <t>GCF_000193185.2</t>
  </si>
  <si>
    <t>GCA_000193185.2</t>
  </si>
  <si>
    <t>SAMN02595346</t>
  </si>
  <si>
    <t>PRJNA39283</t>
  </si>
  <si>
    <t xml:space="preserve">	Aug 19, 2015</t>
  </si>
  <si>
    <t>97.37</t>
  </si>
  <si>
    <t>Beijing Modern ST10</t>
  </si>
  <si>
    <t>Beijing Antic ST19/25</t>
  </si>
  <si>
    <t>Refseq tuberculosis</t>
  </si>
  <si>
    <t>Refseq beijing</t>
  </si>
  <si>
    <t>060827</t>
  </si>
  <si>
    <t>ITM-2021-00504</t>
  </si>
  <si>
    <t>ASM3977065v2</t>
  </si>
  <si>
    <t>GCF_039770655.1</t>
  </si>
  <si>
    <t>GCA_039770655.2</t>
  </si>
  <si>
    <t>JBDMAW02</t>
  </si>
  <si>
    <t>PRJNA1085078</t>
  </si>
  <si>
    <t>SAMN41141461</t>
  </si>
  <si>
    <t>Oct 7, 2025</t>
  </si>
  <si>
    <t>96.11</t>
  </si>
  <si>
    <t>MDR/XDR</t>
  </si>
  <si>
    <t>sensible</t>
  </si>
  <si>
    <t>Haarlem</t>
  </si>
  <si>
    <t>Sep 11, 2013</t>
  </si>
  <si>
    <t>Jul 11, 2013</t>
  </si>
  <si>
    <t>L1 (Indo‑Oceanic) — subfamília East‑African‑Indian (EAI1)</t>
  </si>
  <si>
    <t xml:space="preserve"> East African‑Indian (EAI), subfamília EAI5 (Llinatge 1, Indo‑Oceanic)</t>
  </si>
  <si>
    <t>L1 (Indo‑Oceanic), família East African‑Indian (EAI4)</t>
  </si>
  <si>
    <t>CAS</t>
  </si>
  <si>
    <t>Apr 8, 2018</t>
  </si>
  <si>
    <t>ASM304423v1</t>
  </si>
  <si>
    <t>GCF_003044235.1</t>
  </si>
  <si>
    <t>GCA_003044235.1</t>
  </si>
  <si>
    <t>PRJNA445659</t>
  </si>
  <si>
    <t>SAMN08794918</t>
  </si>
  <si>
    <t>96.03</t>
  </si>
  <si>
    <t>L3 – Central Asian Strain</t>
  </si>
  <si>
    <t>N/A</t>
  </si>
  <si>
    <t>Mycobacterium africanum West African 2</t>
  </si>
  <si>
    <t>Intermedi entre moderns i antics</t>
  </si>
  <si>
    <t>alta transmisivilitat</t>
  </si>
  <si>
    <t>Beijing</t>
  </si>
  <si>
    <t>ASM175086v1</t>
  </si>
  <si>
    <t>GCF_001750865.1</t>
  </si>
  <si>
    <t>GCA_001750865.1</t>
  </si>
  <si>
    <t>PRJNA273899</t>
  </si>
  <si>
    <t>SAMN03301665</t>
  </si>
  <si>
    <t>Oct 3, 2016</t>
  </si>
  <si>
    <t>96.72</t>
  </si>
  <si>
    <t>May 20, 2013</t>
  </si>
  <si>
    <t>X122</t>
  </si>
  <si>
    <t xml:space="preserve">	Jun 7, 2007</t>
  </si>
  <si>
    <t>Dec 14, 2010</t>
  </si>
  <si>
    <t xml:space="preserve">	Dec 14, 2010</t>
  </si>
  <si>
    <t>link 2</t>
  </si>
  <si>
    <t>Arbre cepes Beinjing</t>
  </si>
  <si>
    <t>Beijing Euràsia, molt diferent a H37Rv</t>
  </si>
  <si>
    <t xml:space="preserve">	Jan 8, 2013</t>
  </si>
  <si>
    <t>CDC1551.1</t>
  </si>
  <si>
    <t>GCF_051132375.1</t>
  </si>
  <si>
    <t>GCA_051132375.1</t>
  </si>
  <si>
    <t>PRJNA940830</t>
  </si>
  <si>
    <t>SAMN33579307</t>
  </si>
  <si>
    <t>Jun 28, 2025</t>
  </si>
  <si>
    <t>97.84</t>
  </si>
  <si>
    <t>Induir una resposta immune més intensa que H37Rv (hiperinflamatòria però no més virulent)</t>
  </si>
  <si>
    <t>May 13, 2025</t>
  </si>
  <si>
    <t>Duplicació més ràpida que H37Rv</t>
  </si>
  <si>
    <t>Feb 1, 2013</t>
  </si>
  <si>
    <t>Jul 9, 2009</t>
  </si>
  <si>
    <t>Estudis sobre passibilitat de ser XDR</t>
  </si>
  <si>
    <t>Jun 19, 2012</t>
  </si>
  <si>
    <t>XDR (INH + RIF + fluoroquinolones + aminoglucòsids / capreomicina)</t>
  </si>
  <si>
    <t>LE486</t>
  </si>
  <si>
    <t>TBDM425</t>
  </si>
  <si>
    <t>ASM18402v1</t>
  </si>
  <si>
    <t>GCF_000184025.1</t>
  </si>
  <si>
    <t>GCA_000184025.1</t>
  </si>
  <si>
    <t>ADNG01</t>
  </si>
  <si>
    <t>PRJNA46667</t>
  </si>
  <si>
    <t>SAMN02471089</t>
  </si>
  <si>
    <t>Beijing R.220</t>
  </si>
  <si>
    <t>LAM1</t>
  </si>
  <si>
    <t>X3</t>
  </si>
  <si>
    <t>R (PZA)</t>
  </si>
  <si>
    <t>GCF_002446975.1</t>
  </si>
  <si>
    <t>GCA_002446975.1</t>
  </si>
  <si>
    <t>ASM244697v1</t>
  </si>
  <si>
    <t>PRJNA407834</t>
  </si>
  <si>
    <t>SAMN07664828</t>
  </si>
  <si>
    <t>Oct 5, 2017</t>
  </si>
  <si>
    <t>ASM244717v1</t>
  </si>
  <si>
    <t>GCF_002447175.1</t>
  </si>
  <si>
    <t>GCA_002447175.1</t>
  </si>
  <si>
    <t>SAMN07664838</t>
  </si>
  <si>
    <t>97.08</t>
  </si>
  <si>
    <t>Total</t>
  </si>
  <si>
    <t>S</t>
  </si>
  <si>
    <t>R</t>
  </si>
  <si>
    <t>—</t>
  </si>
  <si>
    <t>RESISTÈNCIA</t>
  </si>
  <si>
    <t>Streptomycin (STR)</t>
  </si>
  <si>
    <t>Rifampin (RIF)</t>
  </si>
  <si>
    <t>Rifabutin (RFB)</t>
  </si>
  <si>
    <t>Pyrazinamide (PZA)</t>
  </si>
  <si>
    <t>Prothionamide (PTO)</t>
  </si>
  <si>
    <t>Para-aminosalicylic acid (PAS)</t>
  </si>
  <si>
    <t>Ofloxacin (OFL)</t>
  </si>
  <si>
    <t>Nicotinamide (NIC)</t>
  </si>
  <si>
    <t>Moxifloxacin (MXF)</t>
  </si>
  <si>
    <t>Linezolid (LZD)</t>
  </si>
  <si>
    <t>Levofloxacin (LFX)</t>
  </si>
  <si>
    <t>Kanamycin (KAN)</t>
  </si>
  <si>
    <t>Isoniazid (INH)</t>
  </si>
  <si>
    <t>Ethionamide (ETH)</t>
  </si>
  <si>
    <t>Ethambutol (EMB)</t>
  </si>
  <si>
    <t>Delamanid (DLM)</t>
  </si>
  <si>
    <t>cycloserine (CYC)</t>
  </si>
  <si>
    <t>clofazimine (CLO)</t>
  </si>
  <si>
    <t>ciprofloxacin (CIP)</t>
  </si>
  <si>
    <t>Capreomycin (CAP)</t>
  </si>
  <si>
    <t>Amakacin (AMK)</t>
  </si>
  <si>
    <t>Linage</t>
  </si>
  <si>
    <t>Factors recalcables</t>
  </si>
  <si>
    <t>Sensible= Sensibilitat als 4 principals antibiòtics</t>
  </si>
  <si>
    <r>
      <t>Se</t>
    </r>
    <r>
      <rPr>
        <sz val="11"/>
        <color theme="1"/>
        <rFont val="Aptos Display"/>
        <family val="2"/>
        <scheme val="major"/>
      </rPr>
      <t xml:space="preserve">nsible (RIF/INH/STR/EMB/PZA) </t>
    </r>
  </si>
  <si>
    <t>sensible (alguns aïllats presenten resistència)</t>
  </si>
  <si>
    <t>MDR (RIF/INH/STR/EMB)</t>
  </si>
  <si>
    <t>MDR (INH, STR)</t>
  </si>
  <si>
    <t>sensible (RIF/INH/STR/EMB)</t>
  </si>
  <si>
    <t>Article Bioproject</t>
  </si>
  <si>
    <t>alta virulencia, capacitat d'evadir la immunitat, alta capacitat de generar resistència, tolerant</t>
  </si>
  <si>
    <t>R86 cluster</t>
  </si>
  <si>
    <t>R.86 cluster</t>
  </si>
  <si>
    <t>MDR ( INH, RIF) / sensible(EMB)</t>
  </si>
  <si>
    <t>MDR (INH, RIF) / sesible(EMB, fluoroquinolones, fàrmecs injectables 2na línea)</t>
  </si>
  <si>
    <t>Antibiòtics primera línea</t>
  </si>
  <si>
    <t>Informació extra del llinatge</t>
  </si>
  <si>
    <t>RIF</t>
  </si>
  <si>
    <t>INH</t>
  </si>
  <si>
    <t>EMB</t>
  </si>
  <si>
    <t>STR</t>
  </si>
  <si>
    <t>PZA</t>
  </si>
  <si>
    <t>MDR = Multidrug Resistant</t>
  </si>
  <si>
    <t>XDR = Extense drug resistant</t>
  </si>
  <si>
    <t>S= Sensible aquell antibiòtic</t>
  </si>
  <si>
    <t>PS = Molt probablement sensile però sense evidència directe</t>
  </si>
  <si>
    <t>R = Resistent a aquell antibiòtic</t>
  </si>
  <si>
    <t>PS</t>
  </si>
  <si>
    <t>PR</t>
  </si>
  <si>
    <t>PR = Probablament resistent</t>
  </si>
  <si>
    <t>FLUOROQUINOLONES</t>
  </si>
  <si>
    <t>AMINOGLUCÒSIDS</t>
  </si>
  <si>
    <t>Aminoglucòsids / injectables</t>
  </si>
  <si>
    <t>Fluoroquinolones</t>
  </si>
  <si>
    <t>Polipèptids injectables</t>
  </si>
  <si>
    <t>Tioamides</t>
  </si>
  <si>
    <t>Altres</t>
  </si>
  <si>
    <t>R (OFL)</t>
  </si>
  <si>
    <t>pre-XDR (INH,RIF,OFL) / sensible(ETH,AMK,EMB)</t>
  </si>
  <si>
    <t>ETH</t>
  </si>
  <si>
    <t>S( AMK)</t>
  </si>
  <si>
    <t>MDR (INH, RIF)</t>
  </si>
  <si>
    <t>sensible (RIF/INH/STR/EMB/PZA)</t>
  </si>
  <si>
    <t>snesible (RIF/INH/STR/EMB)</t>
  </si>
  <si>
    <t>MDR (RIF/INH/STR/EMB/PZA)</t>
  </si>
  <si>
    <t>MDR (INH/RIF)</t>
  </si>
  <si>
    <t>CAP</t>
  </si>
  <si>
    <t>R (KAN)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</si>
</sst>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21212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7" tint="-0.249977111117893"/>
        <bgColor theme="9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5B121"/>
        <bgColor theme="9"/>
      </patternFill>
    </fill>
    <fill>
      <patternFill patternType="solid">
        <fgColor theme="2" tint="-0.499984740745262"/>
        <bgColor theme="9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5B1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/>
      <bottom style="medium">
        <color rgb="FFE0E0E0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7" fillId="0" borderId="0" xfId="0" applyFont="1"/>
    <xf numFmtId="0" fontId="0" fillId="3" borderId="2" xfId="0" applyFill="1" applyBorder="1" applyAlignment="1">
      <alignment horizontal="left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8" fillId="6" borderId="2" xfId="0" applyFont="1" applyFill="1" applyBorder="1" applyAlignment="1">
      <alignment horizontal="center"/>
    </xf>
    <xf numFmtId="0" fontId="1" fillId="0" borderId="2" xfId="1" applyBorder="1"/>
    <xf numFmtId="0" fontId="2" fillId="2" borderId="5" xfId="0" applyFont="1" applyFill="1" applyBorder="1" applyAlignment="1">
      <alignment textRotation="45"/>
    </xf>
    <xf numFmtId="0" fontId="2" fillId="2" borderId="6" xfId="0" applyFont="1" applyFill="1" applyBorder="1" applyAlignment="1">
      <alignment textRotation="45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2" fillId="7" borderId="6" xfId="0" applyFont="1" applyFill="1" applyBorder="1" applyAlignment="1">
      <alignment textRotation="45"/>
    </xf>
    <xf numFmtId="0" fontId="0" fillId="8" borderId="0" xfId="0" applyFill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9" borderId="0" xfId="0" applyFill="1"/>
    <xf numFmtId="0" fontId="2" fillId="10" borderId="6" xfId="0" applyFont="1" applyFill="1" applyBorder="1" applyAlignment="1">
      <alignment textRotation="45"/>
    </xf>
    <xf numFmtId="0" fontId="0" fillId="11" borderId="0" xfId="0" applyFill="1"/>
    <xf numFmtId="0" fontId="2" fillId="12" borderId="6" xfId="0" applyFont="1" applyFill="1" applyBorder="1" applyAlignment="1">
      <alignment textRotation="45"/>
    </xf>
    <xf numFmtId="0" fontId="2" fillId="13" borderId="6" xfId="0" applyFont="1" applyFill="1" applyBorder="1" applyAlignment="1">
      <alignment textRotation="45"/>
    </xf>
    <xf numFmtId="0" fontId="0" fillId="14" borderId="0" xfId="0" applyFill="1"/>
    <xf numFmtId="0" fontId="0" fillId="15" borderId="0" xfId="0" applyFill="1"/>
    <xf numFmtId="0" fontId="2" fillId="16" borderId="6" xfId="0" applyFont="1" applyFill="1" applyBorder="1" applyAlignment="1">
      <alignment textRotation="45"/>
    </xf>
    <xf numFmtId="0" fontId="0" fillId="16" borderId="0" xfId="0" applyFill="1"/>
    <xf numFmtId="0" fontId="0" fillId="0" borderId="9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  <xf numFmtId="0" fontId="1" fillId="0" borderId="2" xfId="1" applyFill="1" applyBorder="1" applyAlignment="1">
      <alignment horizontal="center" vertical="center" wrapText="1"/>
    </xf>
    <xf numFmtId="0" fontId="1" fillId="0" borderId="3" xfId="1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96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6584C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9" tint="0.39997558519241921"/>
        </top>
        <bottom style="thin">
          <color theme="9" tint="0.39997558519241921"/>
        </bottom>
        <vertical/>
        <horizontal style="thin">
          <color theme="9" tint="0.39997558519241921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9" tint="0.79998168889431442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7" tint="0.79998168889431442"/>
        </patternFill>
      </fill>
    </dxf>
    <dxf>
      <border outline="0"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general" vertical="bottom" textRotation="45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</dxfs>
  <tableStyles count="0" defaultTableStyle="TableStyleMedium2" defaultPivotStyle="PivotStyleLight16"/>
  <colors>
    <mruColors>
      <color rgb="FF66FF99"/>
      <color rgb="FFFF6699"/>
      <color rgb="FF99FFCC"/>
      <color rgb="FFA63063"/>
      <color rgb="FFB5B121"/>
      <color rgb="FFEBFF53"/>
      <color rgb="FFF658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XFControls"/>
  <bag type="XFComplement">
    <bagId k="XFControls">0</bagId>
  </bag>
  <bag type="DXFComplements" extRef="DXFComplementsMapperExtRef">
    <a k="MappedFeaturePropertyBags">
      <bagId>1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0865E56-76B6-4AD5-B46D-2BF9F512BDA8}" autoFormatId="16" applyNumberFormats="0" applyBorderFormats="0" applyFontFormats="0" applyPatternFormats="0" applyAlignmentFormats="0" applyWidthHeightFormats="0">
  <queryTableRefresh nextId="26">
    <queryTableFields count="23">
      <queryTableField id="1" name="Organism Name" tableColumnId="1"/>
      <queryTableField id="2" name="Organism Infraspecific Names Strain" tableColumnId="2"/>
      <queryTableField id="3" name="Organism Infraspecific Names Isolate" tableColumnId="3"/>
      <queryTableField id="4" name="Organism Infraspecific Names Cultivar" tableColumnId="4"/>
      <queryTableField id="5" name="Organism Infraspecific Names Breed" tableColumnId="5"/>
      <queryTableField id="6" name="Assembly Name" tableColumnId="6"/>
      <queryTableField id="7" name="Assembly Accession" tableColumnId="7"/>
      <queryTableField id="8" name="Current Accession" tableColumnId="8"/>
      <queryTableField id="9" name="Assembly Paired Assembly Accession" tableColumnId="9"/>
      <queryTableField id="10" name="WGS project accession" tableColumnId="10"/>
      <queryTableField id="11" name="Assembly BioSample Accession" tableColumnId="11"/>
      <queryTableField id="12" name="Assembly BioProject Accession" tableColumnId="12"/>
      <queryTableField id="13" name="Assembly Level" tableColumnId="13"/>
      <queryTableField id="14" name="Assembly Stats Total Sequence Length" tableColumnId="14"/>
      <queryTableField id="15" name="Assembly Stats Number of Contigs" tableColumnId="15"/>
      <queryTableField id="16" name="Assembly Stats Contig N50" tableColumnId="16"/>
      <queryTableField id="17" name="Assembly Stats Scaffold N50" tableColumnId="17"/>
      <queryTableField id="18" name="Assembly Stats Contig L50" tableColumnId="18"/>
      <queryTableField id="19" name="Assembly Stats Scaffold L50" tableColumnId="19"/>
      <queryTableField id="20" name="Annotation Count Gene Total" tableColumnId="20"/>
      <queryTableField id="21" name="Annotation Count Gene Protein-coding" tableColumnId="21"/>
      <queryTableField id="22" name="Annotation Release Date" tableColumnId="22"/>
      <queryTableField id="23" name="CheckM completenes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4D26DB-4ACF-41A1-88E4-A3BDDC2387D6}" name="M_genitalium_ncbidataset_table_tab3" displayName="M_genitalium_ncbidataset_table_tab3" ref="A1:W30" tableType="queryTable" totalsRowShown="0">
  <autoFilter ref="A1:W30" xr:uid="{A34D26DB-4ACF-41A1-88E4-A3BDDC2387D6}"/>
  <tableColumns count="23">
    <tableColumn id="1" xr3:uid="{240A1950-1895-4080-948A-746940B672FD}" uniqueName="1" name="Organism Name" queryTableFieldId="1" dataDxfId="40"/>
    <tableColumn id="2" xr3:uid="{EBA05EE1-1DA0-46C1-9E8E-2A8746F0DDA7}" uniqueName="2" name="Organism Infraspecific Names Strain" queryTableFieldId="2" dataDxfId="39"/>
    <tableColumn id="3" xr3:uid="{705B659C-5068-4F8E-835B-3929535CF534}" uniqueName="3" name="Organism Infraspecific Names Isolate" queryTableFieldId="3" dataDxfId="38"/>
    <tableColumn id="4" xr3:uid="{6644A863-43E9-430C-9CE2-37279EB3B358}" uniqueName="4" name="Organism Infraspecific Names Cultivar" queryTableFieldId="4" dataDxfId="37"/>
    <tableColumn id="5" xr3:uid="{382E910A-294D-4A43-9186-402432D5EC2E}" uniqueName="5" name="Organism Infraspecific Names Breed" queryTableFieldId="5" dataDxfId="36"/>
    <tableColumn id="6" xr3:uid="{33950F98-4D8F-4485-A34F-5694C9EF15FC}" uniqueName="6" name="Assembly Name" queryTableFieldId="6" dataDxfId="35"/>
    <tableColumn id="7" xr3:uid="{6D080A08-DF4C-4F6D-99FD-DA2785E826EF}" uniqueName="7" name="Assembly Accession" queryTableFieldId="7" dataDxfId="34"/>
    <tableColumn id="8" xr3:uid="{396BD424-0F8C-4E39-B16E-EE16D26F3E8C}" uniqueName="8" name="Current Accession" queryTableFieldId="8" dataDxfId="33"/>
    <tableColumn id="9" xr3:uid="{0F34A456-4D8E-49EE-B400-DF4A5862C90E}" uniqueName="9" name="Assembly Paired Assembly Accession" queryTableFieldId="9" dataDxfId="32"/>
    <tableColumn id="10" xr3:uid="{7D664FC9-CA3B-48CD-9C53-FD76BEFFC242}" uniqueName="10" name="WGS project accession" queryTableFieldId="10" dataDxfId="31"/>
    <tableColumn id="11" xr3:uid="{3589CCA5-C81A-4F2E-8BAC-05370B8CBE66}" uniqueName="11" name="Assembly BioSample Accession" queryTableFieldId="11" dataDxfId="30"/>
    <tableColumn id="12" xr3:uid="{941DE85B-A671-4427-8F5C-1E9BE54A099F}" uniqueName="12" name="Assembly BioProject Accession" queryTableFieldId="12" dataDxfId="29"/>
    <tableColumn id="13" xr3:uid="{D09ADA8D-7D0E-4ACB-B5AC-AD51C5C73D1C}" uniqueName="13" name="Assembly Level" queryTableFieldId="13" dataDxfId="28"/>
    <tableColumn id="14" xr3:uid="{25FAF9BB-B84C-4C17-8201-D3DA211E85A0}" uniqueName="14" name="Assembly Stats Total Sequence Length" queryTableFieldId="14"/>
    <tableColumn id="15" xr3:uid="{BC5747EE-152C-458D-A26F-9EF87F7312C3}" uniqueName="15" name="Assembly Stats Number of Contigs" queryTableFieldId="15"/>
    <tableColumn id="16" xr3:uid="{216D03D1-B6E4-4DBE-B645-7C990A71241A}" uniqueName="16" name="Assembly Stats Contig N50" queryTableFieldId="16"/>
    <tableColumn id="17" xr3:uid="{49B92DDF-C433-4CD6-BBB3-341150EAABB9}" uniqueName="17" name="Assembly Stats Scaffold N50" queryTableFieldId="17"/>
    <tableColumn id="18" xr3:uid="{2821799F-29D7-42B4-9A46-7FFDAD70AFE9}" uniqueName="18" name="Assembly Stats Contig L50" queryTableFieldId="18"/>
    <tableColumn id="19" xr3:uid="{83D005C3-E37E-4D2C-A410-EC549E7CF7B0}" uniqueName="19" name="Assembly Stats Scaffold L50" queryTableFieldId="19"/>
    <tableColumn id="20" xr3:uid="{C5833789-C0F8-4AB7-A729-AD83FFDD789D}" uniqueName="20" name="Annotation Count Gene Total" queryTableFieldId="20"/>
    <tableColumn id="21" xr3:uid="{392B9C5D-60A6-48F7-8E1C-4EBB3307A19A}" uniqueName="21" name="Annotation Count Gene Protein-coding" queryTableFieldId="21"/>
    <tableColumn id="22" xr3:uid="{F64E4CCE-657E-4DCD-8A85-4D46D9915D51}" uniqueName="22" name="Annotation Release Date" queryTableFieldId="22" dataDxfId="27"/>
    <tableColumn id="23" xr3:uid="{B10A3F17-DEA5-468D-A6B2-A410BAE92762}" uniqueName="23" name="CheckM completeness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BD9A5-0F04-47A2-AC67-80624F9EA0B9}" name="Tabla1" displayName="Tabla1" ref="A1:Q30" totalsRowShown="0" headerRowDxfId="26" dataDxfId="24" headerRowBorderDxfId="25" tableBorderDxfId="23">
  <autoFilter ref="A1:Q30" xr:uid="{E11BD9A5-0F04-47A2-AC67-80624F9EA0B9}"/>
  <sortState xmlns:xlrd2="http://schemas.microsoft.com/office/spreadsheetml/2017/richdata2" ref="A2:Q30">
    <sortCondition ref="C1:C30"/>
  </sortState>
  <tableColumns count="17">
    <tableColumn id="1" xr3:uid="{E13D96B5-AF1E-4815-95AA-798B69C515B5}" name="Organism Name" dataDxfId="22"/>
    <tableColumn id="2" xr3:uid="{D90F00E5-9A9D-4CC3-B457-0614B3F2A64B}" name="Organism Infraspecific Names Strain" dataDxfId="21"/>
    <tableColumn id="3" xr3:uid="{2D726917-1361-445A-A699-5C147BC86690}" name="Llinatge" dataDxfId="20"/>
    <tableColumn id="6" xr3:uid="{B3CCBD82-E7A0-48D4-9BE4-2E1FD46127DD}" name="Informació extra del llinatge" dataDxfId="19"/>
    <tableColumn id="4" xr3:uid="{9BC5A02D-22AF-4834-A8E1-86BE647CA300}" name="Factors recalcables" dataDxfId="18"/>
    <tableColumn id="5" xr3:uid="{768D784B-C36B-426D-9DA7-7186381E70F2}" name="Resistència Antibiòtics" dataDxfId="17"/>
    <tableColumn id="15" xr3:uid="{4773D0B3-BD16-4066-B6C4-48888D6C865A}" name="RIF" dataDxfId="16"/>
    <tableColumn id="14" xr3:uid="{26850B59-B732-4956-A2C6-4A8D59F05AA4}" name="INH" dataDxfId="15"/>
    <tableColumn id="13" xr3:uid="{539FA8CD-CCA7-4BD6-BF40-2A1C040494C0}" name="EMB" dataDxfId="14"/>
    <tableColumn id="12" xr3:uid="{F7EB290C-BF8C-41D4-8EFF-E5D7DADF5267}" name="STR" dataDxfId="13"/>
    <tableColumn id="11" xr3:uid="{B958A6A5-6E72-470B-9FB3-5EA60620DA18}" name="PZA" dataDxfId="12"/>
    <tableColumn id="16" xr3:uid="{C01CDC09-EC00-482A-8DB1-620340BA0FB4}" name="AMINOGLUCÒSIDS" dataDxfId="11"/>
    <tableColumn id="9" xr3:uid="{981225F4-1E8B-4AC7-8D2F-BF08170D3BAE}" name="FLUOROQUINOLONES" dataDxfId="10"/>
    <tableColumn id="18" xr3:uid="{38D2FC02-9475-4949-A3E9-4EE3FD452E48}" name="ETH" dataDxfId="9"/>
    <tableColumn id="17" xr3:uid="{9FB8DD50-9448-4BFB-A582-70A647D81EC7}" name="CAP" dataDxfId="8"/>
    <tableColumn id="7" xr3:uid="{2E1426AC-E5E9-4673-82F1-44C277DE4190}" name="Article Bioproject" dataDxfId="7"/>
    <tableColumn id="8" xr3:uid="{E3EABFD1-21B4-4EC2-AD94-0F31E8A8015C}" name="link 2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275796-4822-49AB-9DD9-8277FE5DCB58}" name="Tabla3" displayName="Tabla3" ref="A1:Y31" totalsRowCount="1" headerRowDxfId="95" dataDxfId="93" totalsRowDxfId="91" headerRowBorderDxfId="94" tableBorderDxfId="92">
  <autoFilter ref="A1:Y30" xr:uid="{47B6F35A-E567-43E1-ADD1-4A4B907861D2}"/>
  <sortState xmlns:xlrd2="http://schemas.microsoft.com/office/spreadsheetml/2017/richdata2" ref="A2:Y30">
    <sortCondition ref="S1:S30"/>
  </sortState>
  <tableColumns count="25">
    <tableColumn id="23" xr3:uid="{A6D21E77-25E0-47DB-9072-B80BE2FE6E70}" name="Organism Name" totalsRowLabel="Total" dataDxfId="90" totalsRowDxfId="89"/>
    <tableColumn id="22" xr3:uid="{6EDB7BFF-6121-443D-8016-D821336D820E}" name="Organism Infraspecific Names Strain" dataDxfId="88" totalsRowDxfId="87"/>
    <tableColumn id="24" xr3:uid="{AF97FF9B-958E-4299-91AA-493C714828C2}" name="Linage" dataDxfId="86" totalsRowDxfId="85"/>
    <tableColumn id="9" xr3:uid="{4EFD67DC-339B-40B3-A8C5-7428AD650041}" name="Isoniazid (INH)" totalsRowFunction="custom" dataDxfId="84" totalsRowDxfId="83">
      <totalsRowFormula>COUNTIF(D2:D30,"R")</totalsRowFormula>
    </tableColumn>
    <tableColumn id="20" xr3:uid="{62F3DFF3-4E0F-4AA7-86DA-9A9DA6F8406A}" name="Rifampin (RIF)" totalsRowFunction="custom" dataDxfId="82" totalsRowDxfId="81">
      <totalsRowFormula>COUNTIF(E2:E30,"R")</totalsRowFormula>
    </tableColumn>
    <tableColumn id="7" xr3:uid="{C7C3AA08-E7A9-41C7-87B6-58E4BB5D1902}" name="Ethambutol (EMB)" totalsRowFunction="custom" dataDxfId="80" totalsRowDxfId="79">
      <totalsRowFormula>COUNTIF(F2:F30,"R")</totalsRowFormula>
    </tableColumn>
    <tableColumn id="18" xr3:uid="{EFD9AC26-4068-4A06-9252-22D6F1B35E1A}" name="Pyrazinamide (PZA)" totalsRowFunction="custom" dataDxfId="78" totalsRowDxfId="77">
      <totalsRowFormula>COUNTIF(G2:G30,"R")</totalsRowFormula>
    </tableColumn>
    <tableColumn id="21" xr3:uid="{83F62BF1-6CDA-482D-A6EB-21261AEADACB}" name="Streptomycin (STR)" totalsRowFunction="custom" dataDxfId="76" totalsRowDxfId="75">
      <totalsRowFormula>COUNTIF(H2:H30,"R")</totalsRowFormula>
    </tableColumn>
    <tableColumn id="1" xr3:uid="{A5C1036B-44F8-4056-BE2C-661B7E2197B1}" name="Amakacin (AMK)" totalsRowFunction="custom" dataDxfId="74" totalsRowDxfId="73">
      <totalsRowFormula>COUNTIF(I2:I30,"R")</totalsRowFormula>
    </tableColumn>
    <tableColumn id="10" xr3:uid="{E2B86C65-D9E6-43AB-9728-8F4FDA0A7301}" name="Kanamycin (KAN)" totalsRowFunction="custom" dataDxfId="72" totalsRowDxfId="71">
      <totalsRowFormula>COUNTIF(J2:J30,"R")</totalsRowFormula>
    </tableColumn>
    <tableColumn id="3" xr3:uid="{58156619-2A65-458F-A6E7-1FC527AED9A1}" name="ciprofloxacin (CIP)" totalsRowFunction="custom" dataDxfId="70" totalsRowDxfId="69">
      <totalsRowFormula>COUNTIF(K2:K30,"R")</totalsRowFormula>
    </tableColumn>
    <tableColumn id="11" xr3:uid="{F531FB99-FCAD-4C30-8778-17AE57B2B1E3}" name="Levofloxacin (LFX)" totalsRowFunction="custom" dataDxfId="68" totalsRowDxfId="67">
      <totalsRowFormula>COUNTIF(L2:L30,"R")</totalsRowFormula>
    </tableColumn>
    <tableColumn id="13" xr3:uid="{454C0C4E-78F7-46A0-97A8-2F7F5DC86EB6}" name="Moxifloxacin (MXF)" totalsRowFunction="custom" dataDxfId="66" totalsRowDxfId="65">
      <totalsRowFormula>COUNTIF(M2:M30,"R")</totalsRowFormula>
    </tableColumn>
    <tableColumn id="15" xr3:uid="{F4026D47-FF3A-4D52-8F43-1D5C7C238D50}" name="Ofloxacin (OFL)" totalsRowFunction="custom" dataDxfId="64" totalsRowDxfId="63">
      <totalsRowFormula>COUNTIF(N2:N30,"R")</totalsRowFormula>
    </tableColumn>
    <tableColumn id="2" xr3:uid="{F0410804-FB1E-44F0-A763-2261576DB4D7}" name="Capreomycin (CAP)" totalsRowFunction="custom" dataDxfId="62" totalsRowDxfId="61">
      <totalsRowFormula>COUNTIF(O2:O30,"R")</totalsRowFormula>
    </tableColumn>
    <tableColumn id="8" xr3:uid="{8CBEDB01-5523-409C-A69B-54ACED606EC3}" name="Ethionamide (ETH)" totalsRowFunction="custom" dataDxfId="60" totalsRowDxfId="59">
      <totalsRowFormula>COUNTIF(P2:P30,"R")</totalsRowFormula>
    </tableColumn>
    <tableColumn id="17" xr3:uid="{A09E82A2-9258-425F-911B-3C09573D9AE8}" name="Prothionamide (PTO)" totalsRowFunction="custom" dataDxfId="58" totalsRowDxfId="57">
      <totalsRowFormula>COUNTIF(Q2:Q30,"R")</totalsRowFormula>
    </tableColumn>
    <tableColumn id="4" xr3:uid="{500181FE-D232-45F4-8470-13AB7CF96B59}" name="clofazimine (CLO)" totalsRowFunction="custom" dataDxfId="56" totalsRowDxfId="55">
      <totalsRowFormula>COUNTIF(R2:R30,"R")</totalsRowFormula>
    </tableColumn>
    <tableColumn id="5" xr3:uid="{2F8A16B8-0E1B-409D-B9A2-BFB6D9576C84}" name="cycloserine (CYC)" totalsRowFunction="custom" dataDxfId="54" totalsRowDxfId="53">
      <totalsRowFormula>COUNTIF(S2:S30,"R")</totalsRowFormula>
    </tableColumn>
    <tableColumn id="6" xr3:uid="{38AEAC2C-B669-44BC-90D8-B0F52532C8CA}" name="Delamanid (DLM)" totalsRowFunction="custom" dataDxfId="52" totalsRowDxfId="51">
      <totalsRowFormula>COUNTIF(T2:T30,"R")</totalsRowFormula>
    </tableColumn>
    <tableColumn id="12" xr3:uid="{FB09B9FB-86CC-4D31-955C-34AC6B00028E}" name="Linezolid (LZD)" totalsRowFunction="custom" dataDxfId="50" totalsRowDxfId="49">
      <totalsRowFormula>COUNTIF(U2:U30,"R")</totalsRowFormula>
    </tableColumn>
    <tableColumn id="14" xr3:uid="{90FAED25-79F9-4085-AE38-B8ED43711072}" name="Nicotinamide (NIC)" totalsRowFunction="custom" dataDxfId="48" totalsRowDxfId="47">
      <totalsRowFormula>COUNTIF(V2:V30,"R")</totalsRowFormula>
    </tableColumn>
    <tableColumn id="16" xr3:uid="{553DC738-F232-48DA-8005-A8CD26A6D468}" name="Para-aminosalicylic acid (PAS)" totalsRowFunction="custom" dataDxfId="46" totalsRowDxfId="45">
      <totalsRowFormula>COUNTIF(W2:W30,"R")</totalsRowFormula>
    </tableColumn>
    <tableColumn id="19" xr3:uid="{6D76F958-7CF2-4D72-BBB0-9BE07D4B5A7A}" name="Rifabutin (RFB)" totalsRowFunction="custom" dataDxfId="44" totalsRowDxfId="43">
      <totalsRowFormula>COUNTIF(X2:X30,"R")</totalsRowFormula>
    </tableColumn>
    <tableColumn id="25" xr3:uid="{1C3CDD63-34A1-4B39-81E9-872F9E3520B2}" name="RESISTÈNCIA" dataDxfId="42" totalsRowDxfId="41">
      <calculatedColumnFormula>COUNTIF(B2:X2,"R")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bioproject/PRJDB5607/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ncbi.nlm.nih.gov/bioproject/PRJNA598991/" TargetMode="External"/><Relationship Id="rId7" Type="http://schemas.openxmlformats.org/officeDocument/2006/relationships/hyperlink" Target="https://www.ncbi.nlm.nih.gov/bioproject/PRJNA312026/" TargetMode="External"/><Relationship Id="rId12" Type="http://schemas.openxmlformats.org/officeDocument/2006/relationships/hyperlink" Target="https://www.ncbi.nlm.nih.gov/bioproject/PRJNA46667/" TargetMode="External"/><Relationship Id="rId2" Type="http://schemas.openxmlformats.org/officeDocument/2006/relationships/hyperlink" Target="https://www.ncbi.nlm.nih.gov/bioproject/PRJEB8432/" TargetMode="External"/><Relationship Id="rId1" Type="http://schemas.openxmlformats.org/officeDocument/2006/relationships/hyperlink" Target="https://www.ncbi.nlm.nih.gov/datasets/taxonomy/572418" TargetMode="External"/><Relationship Id="rId6" Type="http://schemas.openxmlformats.org/officeDocument/2006/relationships/hyperlink" Target="https://www.ncbi.nlm.nih.gov/bioproject/PRJNA276274/" TargetMode="External"/><Relationship Id="rId11" Type="http://schemas.openxmlformats.org/officeDocument/2006/relationships/hyperlink" Target="https://www.ncbi.nlm.nih.gov/bioproject/PRJNA1085078/" TargetMode="External"/><Relationship Id="rId5" Type="http://schemas.openxmlformats.org/officeDocument/2006/relationships/hyperlink" Target="https://www.ncbi.nlm.nih.gov/bioproject/PRJEA68095/" TargetMode="External"/><Relationship Id="rId10" Type="http://schemas.openxmlformats.org/officeDocument/2006/relationships/hyperlink" Target="https://www.ncbi.nlm.nih.gov/bioproject/PRJNA39283/" TargetMode="External"/><Relationship Id="rId4" Type="http://schemas.openxmlformats.org/officeDocument/2006/relationships/hyperlink" Target="https://www.ncbi.nlm.nih.gov/bioproject/PRJNA641267/" TargetMode="External"/><Relationship Id="rId9" Type="http://schemas.openxmlformats.org/officeDocument/2006/relationships/hyperlink" Target="https://www.ncbi.nlm.nih.gov/bioproject/PRJDB5607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5320646/" TargetMode="External"/><Relationship Id="rId13" Type="http://schemas.openxmlformats.org/officeDocument/2006/relationships/hyperlink" Target="https://pmc.ncbi.nlm.nih.gov/articles/PMC5502846/" TargetMode="External"/><Relationship Id="rId18" Type="http://schemas.openxmlformats.org/officeDocument/2006/relationships/hyperlink" Target="https://pmc.ncbi.nlm.nih.gov/articles/PMC135346/" TargetMode="External"/><Relationship Id="rId26" Type="http://schemas.openxmlformats.org/officeDocument/2006/relationships/hyperlink" Target="https://pmc.ncbi.nlm.nih.gov/articles/PMC7283319/" TargetMode="External"/><Relationship Id="rId3" Type="http://schemas.openxmlformats.org/officeDocument/2006/relationships/hyperlink" Target="https://pmc.ncbi.nlm.nih.gov/articles/PMC5473266/" TargetMode="External"/><Relationship Id="rId21" Type="http://schemas.openxmlformats.org/officeDocument/2006/relationships/hyperlink" Target="https://pmc.ncbi.nlm.nih.gov/articles/PMC3367586/" TargetMode="External"/><Relationship Id="rId7" Type="http://schemas.openxmlformats.org/officeDocument/2006/relationships/hyperlink" Target="https://pmc.ncbi.nlm.nih.gov/articles/PMC3289620/" TargetMode="External"/><Relationship Id="rId12" Type="http://schemas.openxmlformats.org/officeDocument/2006/relationships/hyperlink" Target="https://link.springer.com/article/10.1007/s12539-014-0188-y" TargetMode="External"/><Relationship Id="rId17" Type="http://schemas.openxmlformats.org/officeDocument/2006/relationships/hyperlink" Target="https://pmc.ncbi.nlm.nih.gov/articles/PMC3570532/" TargetMode="External"/><Relationship Id="rId25" Type="http://schemas.openxmlformats.org/officeDocument/2006/relationships/hyperlink" Target="https://link.springer.com/article/10.1007/s11274-021-03164-6" TargetMode="External"/><Relationship Id="rId2" Type="http://schemas.openxmlformats.org/officeDocument/2006/relationships/hyperlink" Target="https://pmc.ncbi.nlm.nih.gov/articles/PMC3091785/" TargetMode="External"/><Relationship Id="rId16" Type="http://schemas.openxmlformats.org/officeDocument/2006/relationships/hyperlink" Target="https://pmc.ncbi.nlm.nih.gov/articles/PMC3885621/" TargetMode="External"/><Relationship Id="rId20" Type="http://schemas.openxmlformats.org/officeDocument/2006/relationships/hyperlink" Target="https://www.sciencedirect.com/science/article/pii/S1472979210001113?via%3Dihub" TargetMode="External"/><Relationship Id="rId1" Type="http://schemas.openxmlformats.org/officeDocument/2006/relationships/hyperlink" Target="https://www.journalofinfection.com/article/S0163-4453(05)00773-5/abstract" TargetMode="External"/><Relationship Id="rId6" Type="http://schemas.openxmlformats.org/officeDocument/2006/relationships/hyperlink" Target="https://pubmed.ncbi.nlm.nih.gov/25999550/" TargetMode="External"/><Relationship Id="rId11" Type="http://schemas.openxmlformats.org/officeDocument/2006/relationships/hyperlink" Target="https://pmc.ncbi.nlm.nih.gov/articles/PMC3651407/" TargetMode="External"/><Relationship Id="rId24" Type="http://schemas.openxmlformats.org/officeDocument/2006/relationships/hyperlink" Target="https://pmc.ncbi.nlm.nih.gov/articles/PMC3282571/" TargetMode="External"/><Relationship Id="rId5" Type="http://schemas.openxmlformats.org/officeDocument/2006/relationships/hyperlink" Target="https://pmc.ncbi.nlm.nih.gov/articles/PMC4888981/" TargetMode="External"/><Relationship Id="rId15" Type="http://schemas.openxmlformats.org/officeDocument/2006/relationships/hyperlink" Target="https://www.sciencedirect.com/science/article/pii/S1874391918302744?via%3Dihub" TargetMode="External"/><Relationship Id="rId23" Type="http://schemas.openxmlformats.org/officeDocument/2006/relationships/hyperlink" Target="https://pmc.ncbi.nlm.nih.gov/articles/PMC3091785/" TargetMode="External"/><Relationship Id="rId10" Type="http://schemas.openxmlformats.org/officeDocument/2006/relationships/hyperlink" Target="https://pmc.ncbi.nlm.nih.gov/articles/PMC4241656/" TargetMode="External"/><Relationship Id="rId19" Type="http://schemas.openxmlformats.org/officeDocument/2006/relationships/hyperlink" Target="https://pmc.ncbi.nlm.nih.gov/articles/PMC3347172/" TargetMode="External"/><Relationship Id="rId4" Type="http://schemas.openxmlformats.org/officeDocument/2006/relationships/hyperlink" Target="https://www.jidc.org/index.php/journal/article/view/37699092/3148" TargetMode="External"/><Relationship Id="rId9" Type="http://schemas.openxmlformats.org/officeDocument/2006/relationships/hyperlink" Target="https://pmc.ncbi.nlm.nih.gov/articles/PMC12413193/" TargetMode="External"/><Relationship Id="rId14" Type="http://schemas.openxmlformats.org/officeDocument/2006/relationships/hyperlink" Target="https://pmc.ncbi.nlm.nih.gov/articles/PMC3091785/" TargetMode="External"/><Relationship Id="rId22" Type="http://schemas.openxmlformats.org/officeDocument/2006/relationships/hyperlink" Target="https://www.sciencedirect.com/science/article/abs/pii/S0928098717306449?via%3Dihub" TargetMode="External"/><Relationship Id="rId27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www.bv-brc.org/view/Genome/1773.8650" TargetMode="External"/><Relationship Id="rId1" Type="http://schemas.openxmlformats.org/officeDocument/2006/relationships/hyperlink" Target="https://www.ncbi.nlm.nih.gov/datasets/taxonomy/5724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3907-04C0-4FD3-A126-4ECC689390CB}">
  <dimension ref="A1:W32"/>
  <sheetViews>
    <sheetView tabSelected="1" zoomScale="61" workbookViewId="0">
      <selection activeCell="F10" sqref="F10"/>
    </sheetView>
  </sheetViews>
  <sheetFormatPr baseColWidth="10" defaultRowHeight="14.4" x14ac:dyDescent="0.3"/>
  <cols>
    <col min="1" max="1" width="29.21875" bestFit="1" customWidth="1"/>
    <col min="2" max="2" width="34" bestFit="1" customWidth="1"/>
    <col min="3" max="3" width="34.6640625" bestFit="1" customWidth="1"/>
    <col min="4" max="4" width="35.5546875" bestFit="1" customWidth="1"/>
    <col min="5" max="5" width="33.88671875" bestFit="1" customWidth="1"/>
    <col min="6" max="6" width="19.21875" bestFit="1" customWidth="1"/>
    <col min="7" max="7" width="20.21875" bestFit="1" customWidth="1"/>
    <col min="8" max="8" width="18.33203125" bestFit="1" customWidth="1"/>
    <col min="9" max="9" width="34.77734375" bestFit="1" customWidth="1"/>
    <col min="10" max="10" width="22.44140625" bestFit="1" customWidth="1"/>
    <col min="11" max="11" width="29.88671875" bestFit="1" customWidth="1"/>
    <col min="12" max="12" width="29.44140625" bestFit="1" customWidth="1"/>
    <col min="13" max="13" width="16.44140625" customWidth="1"/>
    <col min="14" max="14" width="37.44140625" customWidth="1"/>
    <col min="15" max="15" width="33.109375" customWidth="1"/>
    <col min="16" max="16" width="27.6640625" customWidth="1"/>
    <col min="17" max="17" width="29.44140625" customWidth="1"/>
    <col min="18" max="18" width="25.109375" bestFit="1" customWidth="1"/>
    <col min="19" max="19" width="26.6640625" bestFit="1" customWidth="1"/>
    <col min="20" max="20" width="26.77734375" bestFit="1" customWidth="1"/>
    <col min="21" max="21" width="35.109375" bestFit="1" customWidth="1"/>
    <col min="22" max="22" width="23.5546875" bestFit="1" customWidth="1"/>
    <col min="23" max="23" width="23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25</v>
      </c>
      <c r="B2" s="12" t="s">
        <v>26</v>
      </c>
      <c r="F2" t="s">
        <v>30</v>
      </c>
      <c r="G2" t="s">
        <v>31</v>
      </c>
      <c r="H2" t="s">
        <v>31</v>
      </c>
      <c r="I2" t="s">
        <v>32</v>
      </c>
      <c r="K2" t="s">
        <v>33</v>
      </c>
      <c r="L2" t="s">
        <v>34</v>
      </c>
      <c r="M2" t="s">
        <v>23</v>
      </c>
      <c r="N2">
        <v>4411532</v>
      </c>
      <c r="O2">
        <v>1</v>
      </c>
      <c r="P2">
        <f>M_genitalium_ncbidataset_table_tab3[[#This Row],[Assembly Stats Total Sequence Length]]</f>
        <v>4411532</v>
      </c>
      <c r="Q2">
        <f>M_genitalium_ncbidataset_table_tab3[[#This Row],[Assembly Stats Total Sequence Length]]</f>
        <v>4411532</v>
      </c>
      <c r="R2">
        <v>1</v>
      </c>
      <c r="S2">
        <v>1</v>
      </c>
      <c r="T2">
        <v>4008</v>
      </c>
      <c r="U2">
        <v>3906</v>
      </c>
      <c r="V2" t="s">
        <v>254</v>
      </c>
      <c r="W2" t="s">
        <v>38</v>
      </c>
    </row>
    <row r="3" spans="1:23" x14ac:dyDescent="0.3">
      <c r="A3" t="s">
        <v>25</v>
      </c>
      <c r="B3" s="12" t="s">
        <v>39</v>
      </c>
      <c r="F3" t="s">
        <v>40</v>
      </c>
      <c r="G3" t="s">
        <v>41</v>
      </c>
      <c r="H3" t="s">
        <v>41</v>
      </c>
      <c r="I3" t="s">
        <v>42</v>
      </c>
      <c r="K3" t="s">
        <v>43</v>
      </c>
      <c r="L3" t="s">
        <v>44</v>
      </c>
      <c r="M3" t="s">
        <v>23</v>
      </c>
      <c r="N3">
        <v>4410871</v>
      </c>
      <c r="O3">
        <v>1</v>
      </c>
      <c r="P3">
        <f>M_genitalium_ncbidataset_table_tab3[[#This Row],[Assembly Stats Total Sequence Length]]</f>
        <v>4410871</v>
      </c>
      <c r="Q3">
        <f>M_genitalium_ncbidataset_table_tab3[[#This Row],[Assembly Stats Total Sequence Length]]</f>
        <v>4410871</v>
      </c>
      <c r="R3">
        <v>1</v>
      </c>
      <c r="S3">
        <v>1</v>
      </c>
      <c r="T3">
        <v>4158</v>
      </c>
      <c r="U3">
        <v>3921</v>
      </c>
      <c r="V3" t="s">
        <v>252</v>
      </c>
      <c r="W3" t="s">
        <v>45</v>
      </c>
    </row>
    <row r="4" spans="1:23" ht="15" customHeight="1" x14ac:dyDescent="0.3">
      <c r="A4" t="s">
        <v>25</v>
      </c>
      <c r="B4" s="12" t="s">
        <v>27</v>
      </c>
      <c r="F4" t="s">
        <v>244</v>
      </c>
      <c r="G4" t="s">
        <v>245</v>
      </c>
      <c r="H4" t="s">
        <v>245</v>
      </c>
      <c r="I4" t="s">
        <v>246</v>
      </c>
      <c r="K4" t="s">
        <v>248</v>
      </c>
      <c r="L4" t="s">
        <v>247</v>
      </c>
      <c r="M4" t="s">
        <v>23</v>
      </c>
      <c r="N4">
        <v>4410946</v>
      </c>
      <c r="O4">
        <v>1</v>
      </c>
      <c r="P4">
        <v>4410946</v>
      </c>
      <c r="Q4">
        <v>4410946</v>
      </c>
      <c r="R4">
        <v>1</v>
      </c>
      <c r="S4">
        <v>1</v>
      </c>
      <c r="T4">
        <v>4163</v>
      </c>
      <c r="U4">
        <v>3925</v>
      </c>
      <c r="V4" t="s">
        <v>249</v>
      </c>
      <c r="W4" t="s">
        <v>250</v>
      </c>
    </row>
    <row r="5" spans="1:23" x14ac:dyDescent="0.3">
      <c r="A5" t="s">
        <v>25</v>
      </c>
      <c r="B5" s="12" t="s">
        <v>28</v>
      </c>
      <c r="F5" t="s">
        <v>46</v>
      </c>
      <c r="G5" t="s">
        <v>47</v>
      </c>
      <c r="H5" t="s">
        <v>47</v>
      </c>
      <c r="I5" t="s">
        <v>48</v>
      </c>
      <c r="K5" t="s">
        <v>49</v>
      </c>
      <c r="L5" t="s">
        <v>50</v>
      </c>
      <c r="M5" t="s">
        <v>23</v>
      </c>
      <c r="N5">
        <v>4424435</v>
      </c>
      <c r="O5">
        <v>1</v>
      </c>
      <c r="P5">
        <f>M_genitalium_ncbidataset_table_tab3[[#This Row],[Assembly Stats Total Sequence Length]]</f>
        <v>4424435</v>
      </c>
      <c r="Q5">
        <f>M_genitalium_ncbidataset_table_tab3[[#This Row],[Assembly Stats Total Sequence Length]]</f>
        <v>4424435</v>
      </c>
      <c r="R5">
        <v>1</v>
      </c>
      <c r="S5">
        <v>1</v>
      </c>
      <c r="T5">
        <v>4171</v>
      </c>
      <c r="U5">
        <v>3931</v>
      </c>
      <c r="V5" t="s">
        <v>237</v>
      </c>
      <c r="W5" t="s">
        <v>51</v>
      </c>
    </row>
    <row r="6" spans="1:23" x14ac:dyDescent="0.3">
      <c r="A6" t="s">
        <v>25</v>
      </c>
      <c r="B6" s="12" t="s">
        <v>52</v>
      </c>
      <c r="F6" t="s">
        <v>53</v>
      </c>
      <c r="G6" t="s">
        <v>54</v>
      </c>
      <c r="H6" t="s">
        <v>54</v>
      </c>
      <c r="I6" t="s">
        <v>55</v>
      </c>
      <c r="K6" t="s">
        <v>56</v>
      </c>
      <c r="L6" t="s">
        <v>57</v>
      </c>
      <c r="M6" t="s">
        <v>23</v>
      </c>
      <c r="N6">
        <v>4398250</v>
      </c>
      <c r="O6">
        <v>1</v>
      </c>
      <c r="P6">
        <f>M_genitalium_ncbidataset_table_tab3[[#This Row],[Assembly Stats Total Sequence Length]]</f>
        <v>4398250</v>
      </c>
      <c r="Q6">
        <f>M_genitalium_ncbidataset_table_tab3[[#This Row],[Assembly Stats Total Sequence Length]]</f>
        <v>4398250</v>
      </c>
      <c r="R6">
        <v>1</v>
      </c>
      <c r="S6">
        <v>1</v>
      </c>
      <c r="T6">
        <v>4150</v>
      </c>
      <c r="U6">
        <v>3899</v>
      </c>
      <c r="V6" t="s">
        <v>255</v>
      </c>
      <c r="W6" t="s">
        <v>58</v>
      </c>
    </row>
    <row r="7" spans="1:23" ht="13.8" customHeight="1" x14ac:dyDescent="0.3">
      <c r="A7" t="s">
        <v>25</v>
      </c>
      <c r="B7" s="12" t="s">
        <v>59</v>
      </c>
      <c r="F7" t="s">
        <v>60</v>
      </c>
      <c r="G7" t="s">
        <v>61</v>
      </c>
      <c r="H7" t="s">
        <v>61</v>
      </c>
      <c r="I7" t="s">
        <v>62</v>
      </c>
      <c r="K7" t="s">
        <v>63</v>
      </c>
      <c r="L7" t="s">
        <v>64</v>
      </c>
      <c r="M7" t="s">
        <v>23</v>
      </c>
      <c r="N7">
        <v>4399120</v>
      </c>
      <c r="O7">
        <v>1</v>
      </c>
      <c r="P7">
        <f>M_genitalium_ncbidataset_table_tab3[[#This Row],[Assembly Stats Total Sequence Length]]</f>
        <v>4399120</v>
      </c>
      <c r="Q7">
        <f>M_genitalium_ncbidataset_table_tab3[[#This Row],[Assembly Stats Total Sequence Length]]</f>
        <v>4399120</v>
      </c>
      <c r="R7">
        <v>1</v>
      </c>
      <c r="S7">
        <v>1</v>
      </c>
      <c r="T7">
        <v>4149</v>
      </c>
      <c r="U7">
        <v>3898</v>
      </c>
      <c r="V7" t="s">
        <v>257</v>
      </c>
      <c r="W7" t="s">
        <v>65</v>
      </c>
    </row>
    <row r="8" spans="1:23" x14ac:dyDescent="0.3">
      <c r="A8" t="s">
        <v>25</v>
      </c>
      <c r="B8" s="12" t="s">
        <v>29</v>
      </c>
      <c r="F8" t="s">
        <v>66</v>
      </c>
      <c r="G8" t="s">
        <v>67</v>
      </c>
      <c r="H8" t="s">
        <v>67</v>
      </c>
      <c r="I8" t="s">
        <v>68</v>
      </c>
      <c r="K8" t="s">
        <v>69</v>
      </c>
      <c r="L8" t="s">
        <v>70</v>
      </c>
      <c r="M8" t="s">
        <v>23</v>
      </c>
      <c r="N8">
        <v>4421197</v>
      </c>
      <c r="O8">
        <v>1</v>
      </c>
      <c r="P8">
        <f>M_genitalium_ncbidataset_table_tab3[[#This Row],[Assembly Stats Total Sequence Length]]</f>
        <v>4421197</v>
      </c>
      <c r="Q8">
        <f>M_genitalium_ncbidataset_table_tab3[[#This Row],[Assembly Stats Total Sequence Length]]</f>
        <v>4421197</v>
      </c>
      <c r="R8">
        <v>1</v>
      </c>
      <c r="S8">
        <v>1</v>
      </c>
      <c r="T8">
        <v>4162</v>
      </c>
      <c r="U8">
        <v>3925</v>
      </c>
      <c r="V8" t="s">
        <v>243</v>
      </c>
      <c r="W8" t="s">
        <v>71</v>
      </c>
    </row>
    <row r="9" spans="1:23" x14ac:dyDescent="0.3">
      <c r="A9" t="s">
        <v>25</v>
      </c>
      <c r="B9" s="12" t="s">
        <v>110</v>
      </c>
      <c r="F9" t="s">
        <v>73</v>
      </c>
      <c r="G9" t="s">
        <v>74</v>
      </c>
      <c r="H9" t="s">
        <v>74</v>
      </c>
      <c r="I9" t="s">
        <v>75</v>
      </c>
      <c r="K9" t="s">
        <v>76</v>
      </c>
      <c r="L9" t="s">
        <v>77</v>
      </c>
      <c r="M9" t="s">
        <v>23</v>
      </c>
      <c r="N9">
        <v>4404672</v>
      </c>
      <c r="O9">
        <v>1</v>
      </c>
      <c r="P9">
        <f>M_genitalium_ncbidataset_table_tab3[[#This Row],[Assembly Stats Total Sequence Length]]</f>
        <v>4404672</v>
      </c>
      <c r="Q9">
        <f>M_genitalium_ncbidataset_table_tab3[[#This Row],[Assembly Stats Total Sequence Length]]</f>
        <v>4404672</v>
      </c>
      <c r="R9">
        <v>1</v>
      </c>
      <c r="S9">
        <v>1</v>
      </c>
      <c r="T9">
        <v>4215</v>
      </c>
      <c r="U9">
        <v>3927</v>
      </c>
      <c r="V9" t="s">
        <v>238</v>
      </c>
      <c r="W9" t="s">
        <v>78</v>
      </c>
    </row>
    <row r="10" spans="1:23" x14ac:dyDescent="0.3">
      <c r="A10" t="s">
        <v>25</v>
      </c>
      <c r="B10" s="12" t="s">
        <v>36</v>
      </c>
      <c r="F10" t="s">
        <v>79</v>
      </c>
      <c r="G10" t="s">
        <v>80</v>
      </c>
      <c r="H10" t="s">
        <v>80</v>
      </c>
      <c r="I10" t="s">
        <v>81</v>
      </c>
      <c r="K10" t="s">
        <v>82</v>
      </c>
      <c r="L10" t="s">
        <v>83</v>
      </c>
      <c r="M10" t="s">
        <v>23</v>
      </c>
      <c r="N10">
        <v>4414346</v>
      </c>
      <c r="O10">
        <v>1</v>
      </c>
      <c r="P10">
        <f>M_genitalium_ncbidataset_table_tab3[[#This Row],[Assembly Stats Total Sequence Length]]</f>
        <v>4414346</v>
      </c>
      <c r="Q10">
        <f>M_genitalium_ncbidataset_table_tab3[[#This Row],[Assembly Stats Total Sequence Length]]</f>
        <v>4414346</v>
      </c>
      <c r="R10">
        <v>1</v>
      </c>
      <c r="S10">
        <v>1</v>
      </c>
      <c r="T10">
        <v>4167</v>
      </c>
      <c r="U10">
        <v>3909</v>
      </c>
      <c r="W10" t="s">
        <v>84</v>
      </c>
    </row>
    <row r="11" spans="1:23" x14ac:dyDescent="0.3">
      <c r="A11" t="s">
        <v>25</v>
      </c>
      <c r="B11" s="12" t="s">
        <v>35</v>
      </c>
      <c r="F11" t="s">
        <v>85</v>
      </c>
      <c r="G11" t="s">
        <v>86</v>
      </c>
      <c r="H11" t="s">
        <v>86</v>
      </c>
      <c r="I11" t="s">
        <v>87</v>
      </c>
      <c r="K11" t="s">
        <v>88</v>
      </c>
      <c r="L11" t="s">
        <v>89</v>
      </c>
      <c r="M11" t="s">
        <v>23</v>
      </c>
      <c r="N11">
        <v>4414325</v>
      </c>
      <c r="O11">
        <v>1</v>
      </c>
      <c r="P11">
        <f>M_genitalium_ncbidataset_table_tab3[[#This Row],[Assembly Stats Total Sequence Length]]</f>
        <v>4414325</v>
      </c>
      <c r="Q11">
        <f>M_genitalium_ncbidataset_table_tab3[[#This Row],[Assembly Stats Total Sequence Length]]</f>
        <v>4414325</v>
      </c>
      <c r="R11">
        <v>1</v>
      </c>
      <c r="S11">
        <v>1</v>
      </c>
      <c r="T11">
        <v>4161</v>
      </c>
      <c r="U11">
        <v>3901</v>
      </c>
      <c r="V11" s="17" t="s">
        <v>235</v>
      </c>
      <c r="W11" t="s">
        <v>90</v>
      </c>
    </row>
    <row r="12" spans="1:23" ht="15" thickBot="1" x14ac:dyDescent="0.35">
      <c r="A12" t="s">
        <v>25</v>
      </c>
      <c r="B12" s="12" t="s">
        <v>91</v>
      </c>
      <c r="F12" t="s">
        <v>92</v>
      </c>
      <c r="G12" t="s">
        <v>93</v>
      </c>
      <c r="H12" t="s">
        <v>93</v>
      </c>
      <c r="I12" t="s">
        <v>94</v>
      </c>
      <c r="K12" t="s">
        <v>95</v>
      </c>
      <c r="L12" t="s">
        <v>96</v>
      </c>
      <c r="M12" t="s">
        <v>23</v>
      </c>
      <c r="N12">
        <v>4391174</v>
      </c>
      <c r="O12">
        <v>1</v>
      </c>
      <c r="P12">
        <f>M_genitalium_ncbidataset_table_tab3[[#This Row],[Assembly Stats Total Sequence Length]]</f>
        <v>4391174</v>
      </c>
      <c r="Q12">
        <f>M_genitalium_ncbidataset_table_tab3[[#This Row],[Assembly Stats Total Sequence Length]]</f>
        <v>4391174</v>
      </c>
      <c r="R12">
        <v>1</v>
      </c>
      <c r="S12">
        <v>1</v>
      </c>
      <c r="T12">
        <v>4148</v>
      </c>
      <c r="U12">
        <v>3903</v>
      </c>
      <c r="V12" s="16" t="s">
        <v>210</v>
      </c>
      <c r="W12" t="s">
        <v>97</v>
      </c>
    </row>
    <row r="13" spans="1:23" x14ac:dyDescent="0.3">
      <c r="A13" t="s">
        <v>25</v>
      </c>
      <c r="B13" s="12" t="s">
        <v>208</v>
      </c>
      <c r="F13" t="s">
        <v>98</v>
      </c>
      <c r="G13" t="s">
        <v>99</v>
      </c>
      <c r="H13" t="s">
        <v>99</v>
      </c>
      <c r="I13" t="s">
        <v>100</v>
      </c>
      <c r="K13" t="s">
        <v>101</v>
      </c>
      <c r="L13" t="s">
        <v>102</v>
      </c>
      <c r="M13" t="s">
        <v>23</v>
      </c>
      <c r="N13">
        <v>4408224</v>
      </c>
      <c r="O13">
        <v>1</v>
      </c>
      <c r="P13">
        <f>M_genitalium_ncbidataset_table_tab3[[#This Row],[Assembly Stats Total Sequence Length]]</f>
        <v>4408224</v>
      </c>
      <c r="Q13">
        <f>M_genitalium_ncbidataset_table_tab3[[#This Row],[Assembly Stats Total Sequence Length]]</f>
        <v>4408224</v>
      </c>
      <c r="R13">
        <v>1</v>
      </c>
      <c r="S13">
        <v>1</v>
      </c>
      <c r="T13">
        <v>4151</v>
      </c>
      <c r="U13">
        <v>3914</v>
      </c>
      <c r="V13" s="6" t="s">
        <v>209</v>
      </c>
      <c r="W13" t="s">
        <v>103</v>
      </c>
    </row>
    <row r="14" spans="1:23" x14ac:dyDescent="0.3">
      <c r="A14" t="s">
        <v>25</v>
      </c>
      <c r="B14" s="12" t="s">
        <v>72</v>
      </c>
      <c r="F14" t="s">
        <v>104</v>
      </c>
      <c r="G14" t="s">
        <v>105</v>
      </c>
      <c r="H14" t="s">
        <v>105</v>
      </c>
      <c r="I14" t="s">
        <v>106</v>
      </c>
      <c r="J14" t="s">
        <v>109</v>
      </c>
      <c r="K14" t="s">
        <v>107</v>
      </c>
      <c r="L14" t="s">
        <v>108</v>
      </c>
      <c r="M14" t="s">
        <v>24</v>
      </c>
      <c r="N14">
        <v>4397271</v>
      </c>
      <c r="O14">
        <v>99</v>
      </c>
      <c r="P14">
        <v>124600</v>
      </c>
      <c r="Q14">
        <v>4400000</v>
      </c>
      <c r="R14">
        <v>8</v>
      </c>
      <c r="S14">
        <v>1</v>
      </c>
      <c r="T14">
        <v>4219</v>
      </c>
      <c r="U14">
        <v>3927</v>
      </c>
      <c r="V14" t="s">
        <v>239</v>
      </c>
      <c r="W14" t="s">
        <v>84</v>
      </c>
    </row>
    <row r="15" spans="1:23" x14ac:dyDescent="0.3">
      <c r="A15" t="s">
        <v>25</v>
      </c>
      <c r="B15" s="12" t="s">
        <v>113</v>
      </c>
      <c r="F15" t="s">
        <v>137</v>
      </c>
      <c r="G15" t="s">
        <v>138</v>
      </c>
      <c r="H15" t="s">
        <v>138</v>
      </c>
      <c r="I15" t="s">
        <v>139</v>
      </c>
      <c r="K15" t="s">
        <v>141</v>
      </c>
      <c r="L15" t="s">
        <v>140</v>
      </c>
      <c r="M15" t="s">
        <v>23</v>
      </c>
      <c r="N15">
        <v>4389314</v>
      </c>
      <c r="O15">
        <v>1</v>
      </c>
      <c r="P15">
        <v>4389314</v>
      </c>
      <c r="Q15">
        <v>4389314</v>
      </c>
      <c r="R15">
        <v>1</v>
      </c>
      <c r="S15">
        <v>1</v>
      </c>
      <c r="T15">
        <v>4130</v>
      </c>
      <c r="U15">
        <v>3857</v>
      </c>
      <c r="V15" t="s">
        <v>143</v>
      </c>
      <c r="W15" t="s">
        <v>142</v>
      </c>
    </row>
    <row r="16" spans="1:23" x14ac:dyDescent="0.3">
      <c r="A16" t="s">
        <v>25</v>
      </c>
      <c r="B16" s="12" t="s">
        <v>114</v>
      </c>
      <c r="E16" t="s">
        <v>130</v>
      </c>
      <c r="F16" t="s">
        <v>114</v>
      </c>
      <c r="G16" t="s">
        <v>115</v>
      </c>
      <c r="H16" t="s">
        <v>115</v>
      </c>
      <c r="I16" t="s">
        <v>116</v>
      </c>
      <c r="J16" t="s">
        <v>117</v>
      </c>
      <c r="K16" t="s">
        <v>118</v>
      </c>
      <c r="L16" t="s">
        <v>119</v>
      </c>
      <c r="M16" t="s">
        <v>120</v>
      </c>
      <c r="N16">
        <v>4497391</v>
      </c>
      <c r="O16">
        <v>225</v>
      </c>
      <c r="P16">
        <v>50573</v>
      </c>
      <c r="Q16">
        <v>59183</v>
      </c>
      <c r="R16">
        <v>26</v>
      </c>
      <c r="S16">
        <v>23</v>
      </c>
      <c r="T16">
        <v>4401</v>
      </c>
      <c r="U16">
        <v>4074</v>
      </c>
      <c r="W16" t="s">
        <v>121</v>
      </c>
    </row>
    <row r="17" spans="1:23" x14ac:dyDescent="0.3">
      <c r="A17" t="s">
        <v>25</v>
      </c>
      <c r="B17" s="12" t="s">
        <v>125</v>
      </c>
      <c r="F17" t="s">
        <v>122</v>
      </c>
      <c r="G17" t="s">
        <v>123</v>
      </c>
      <c r="H17" t="s">
        <v>123</v>
      </c>
      <c r="I17" t="s">
        <v>124</v>
      </c>
      <c r="K17" t="s">
        <v>127</v>
      </c>
      <c r="L17" t="s">
        <v>126</v>
      </c>
      <c r="M17" t="s">
        <v>23</v>
      </c>
      <c r="N17">
        <v>4379910</v>
      </c>
      <c r="O17">
        <v>1</v>
      </c>
      <c r="P17">
        <v>4379910</v>
      </c>
      <c r="Q17">
        <v>4379910</v>
      </c>
      <c r="R17">
        <v>1</v>
      </c>
      <c r="S17">
        <v>1</v>
      </c>
      <c r="T17">
        <v>4142</v>
      </c>
      <c r="U17">
        <v>3842</v>
      </c>
      <c r="V17" t="s">
        <v>129</v>
      </c>
      <c r="W17" t="s">
        <v>128</v>
      </c>
    </row>
    <row r="18" spans="1:23" x14ac:dyDescent="0.3">
      <c r="A18" s="7" t="s">
        <v>25</v>
      </c>
      <c r="B18" s="15" t="s">
        <v>196</v>
      </c>
      <c r="C18" s="7"/>
      <c r="D18" s="7"/>
      <c r="E18" s="7"/>
      <c r="F18" s="7" t="s">
        <v>131</v>
      </c>
      <c r="G18" s="7" t="s">
        <v>132</v>
      </c>
      <c r="H18" s="7" t="s">
        <v>132</v>
      </c>
      <c r="I18" s="7" t="s">
        <v>133</v>
      </c>
      <c r="J18" s="7"/>
      <c r="K18" s="11" t="s">
        <v>161</v>
      </c>
      <c r="L18" s="7" t="s">
        <v>134</v>
      </c>
      <c r="M18" s="7" t="s">
        <v>23</v>
      </c>
      <c r="N18" s="7">
        <v>4438262</v>
      </c>
      <c r="O18" s="7">
        <v>1</v>
      </c>
      <c r="P18" s="7">
        <v>4438262</v>
      </c>
      <c r="Q18" s="7">
        <v>4438262</v>
      </c>
      <c r="R18" s="7">
        <v>1</v>
      </c>
      <c r="S18" s="7">
        <v>1</v>
      </c>
      <c r="T18" s="7">
        <v>4188</v>
      </c>
      <c r="U18" s="7">
        <v>3873</v>
      </c>
      <c r="V18" s="7" t="s">
        <v>135</v>
      </c>
      <c r="W18" s="7" t="s">
        <v>136</v>
      </c>
    </row>
    <row r="19" spans="1:23" x14ac:dyDescent="0.3">
      <c r="A19" t="s">
        <v>25</v>
      </c>
      <c r="B19" s="13" t="s">
        <v>145</v>
      </c>
      <c r="C19" s="7"/>
      <c r="D19" s="7"/>
      <c r="E19" s="7"/>
      <c r="F19" s="7" t="s">
        <v>144</v>
      </c>
      <c r="G19" s="7" t="s">
        <v>146</v>
      </c>
      <c r="H19" s="7" t="s">
        <v>146</v>
      </c>
      <c r="I19" s="7" t="s">
        <v>147</v>
      </c>
      <c r="J19" s="7" t="s">
        <v>149</v>
      </c>
      <c r="K19" s="7" t="s">
        <v>148</v>
      </c>
      <c r="L19" s="7" t="s">
        <v>150</v>
      </c>
      <c r="M19" s="7" t="s">
        <v>151</v>
      </c>
      <c r="N19" s="7">
        <v>4294796</v>
      </c>
      <c r="O19" s="7">
        <v>158</v>
      </c>
      <c r="P19" s="7">
        <v>56472</v>
      </c>
      <c r="Q19" s="7">
        <v>56472</v>
      </c>
      <c r="R19" s="7">
        <v>27</v>
      </c>
      <c r="S19" s="7">
        <v>27</v>
      </c>
      <c r="T19" s="7">
        <v>4212</v>
      </c>
      <c r="U19" s="7">
        <v>3919</v>
      </c>
      <c r="V19" s="7" t="s">
        <v>153</v>
      </c>
      <c r="W19" s="7" t="s">
        <v>152</v>
      </c>
    </row>
    <row r="20" spans="1:23" x14ac:dyDescent="0.3">
      <c r="A20" s="7" t="s">
        <v>25</v>
      </c>
      <c r="B20" s="7" t="s">
        <v>214</v>
      </c>
      <c r="C20" s="7"/>
      <c r="D20" s="7"/>
      <c r="E20" s="7"/>
      <c r="F20" s="7" t="s">
        <v>216</v>
      </c>
      <c r="G20" s="7" t="s">
        <v>217</v>
      </c>
      <c r="H20" s="7" t="s">
        <v>217</v>
      </c>
      <c r="I20" s="7" t="s">
        <v>218</v>
      </c>
      <c r="J20" s="7"/>
      <c r="K20" s="7" t="s">
        <v>220</v>
      </c>
      <c r="L20" s="7" t="s">
        <v>219</v>
      </c>
      <c r="M20" s="7" t="s">
        <v>24</v>
      </c>
      <c r="N20" s="7">
        <v>4394577</v>
      </c>
      <c r="O20" s="7">
        <v>120</v>
      </c>
      <c r="P20" s="7">
        <v>82508</v>
      </c>
      <c r="Q20" s="7">
        <v>4394577</v>
      </c>
      <c r="R20" s="7">
        <v>17</v>
      </c>
      <c r="S20" s="7">
        <v>1</v>
      </c>
      <c r="T20" s="7">
        <v>4195</v>
      </c>
      <c r="U20" s="7">
        <v>3895</v>
      </c>
      <c r="V20" s="7" t="s">
        <v>215</v>
      </c>
      <c r="W20" s="7" t="s">
        <v>221</v>
      </c>
    </row>
    <row r="21" spans="1:23" x14ac:dyDescent="0.3">
      <c r="A21" t="s">
        <v>25</v>
      </c>
      <c r="B21" s="13" t="s">
        <v>154</v>
      </c>
      <c r="C21" s="7"/>
      <c r="F21" s="7" t="s">
        <v>156</v>
      </c>
      <c r="G21" s="7" t="s">
        <v>157</v>
      </c>
      <c r="H21" s="7" t="s">
        <v>157</v>
      </c>
      <c r="I21" s="7" t="s">
        <v>158</v>
      </c>
      <c r="K21" s="10" t="s">
        <v>160</v>
      </c>
      <c r="L21" t="s">
        <v>159</v>
      </c>
      <c r="M21" t="s">
        <v>23</v>
      </c>
      <c r="N21" s="7">
        <v>4399916</v>
      </c>
      <c r="O21" s="7">
        <v>1</v>
      </c>
      <c r="P21" s="7">
        <v>4399916</v>
      </c>
      <c r="Q21" s="7">
        <v>4399916</v>
      </c>
      <c r="R21" s="7">
        <v>1</v>
      </c>
      <c r="S21" s="7">
        <v>1</v>
      </c>
      <c r="T21" s="7">
        <v>4133</v>
      </c>
      <c r="U21" s="7">
        <v>3873</v>
      </c>
      <c r="V21" s="7" t="s">
        <v>162</v>
      </c>
      <c r="W21" s="7" t="s">
        <v>45</v>
      </c>
    </row>
    <row r="22" spans="1:23" x14ac:dyDescent="0.3">
      <c r="A22" t="s">
        <v>25</v>
      </c>
      <c r="B22" s="13" t="s">
        <v>155</v>
      </c>
      <c r="C22" s="7"/>
      <c r="F22" s="7" t="s">
        <v>163</v>
      </c>
      <c r="G22" s="7" t="s">
        <v>164</v>
      </c>
      <c r="H22" s="7" t="s">
        <v>164</v>
      </c>
      <c r="I22" s="7" t="s">
        <v>165</v>
      </c>
      <c r="J22" s="7"/>
      <c r="K22" s="7" t="s">
        <v>166</v>
      </c>
      <c r="L22" s="7" t="s">
        <v>167</v>
      </c>
      <c r="M22" s="7" t="s">
        <v>23</v>
      </c>
      <c r="N22" s="7">
        <v>4414742</v>
      </c>
      <c r="O22" s="7">
        <v>1</v>
      </c>
      <c r="P22" s="7">
        <v>4414742</v>
      </c>
      <c r="Q22" s="7">
        <v>4414742</v>
      </c>
      <c r="R22" s="7">
        <v>1</v>
      </c>
      <c r="S22" s="7">
        <v>1</v>
      </c>
      <c r="T22" s="7">
        <v>4162</v>
      </c>
      <c r="U22" s="7">
        <v>3949</v>
      </c>
      <c r="V22" s="7" t="s">
        <v>168</v>
      </c>
      <c r="W22" s="7" t="s">
        <v>38</v>
      </c>
    </row>
    <row r="23" spans="1:23" x14ac:dyDescent="0.3">
      <c r="A23" t="s">
        <v>25</v>
      </c>
      <c r="B23" s="12" t="s">
        <v>227</v>
      </c>
      <c r="F23" s="7" t="s">
        <v>228</v>
      </c>
      <c r="G23" s="7" t="s">
        <v>229</v>
      </c>
      <c r="H23" s="7" t="s">
        <v>229</v>
      </c>
      <c r="I23" s="7" t="s">
        <v>230</v>
      </c>
      <c r="J23" s="7"/>
      <c r="K23" s="7" t="s">
        <v>232</v>
      </c>
      <c r="L23" s="7" t="s">
        <v>231</v>
      </c>
      <c r="M23" s="7" t="s">
        <v>23</v>
      </c>
      <c r="N23" s="7">
        <v>4378588</v>
      </c>
      <c r="O23" s="7">
        <v>1</v>
      </c>
      <c r="P23" s="7">
        <v>4378588</v>
      </c>
      <c r="Q23" s="7">
        <v>4378588</v>
      </c>
      <c r="R23" s="7">
        <v>1</v>
      </c>
      <c r="S23" s="7">
        <v>1</v>
      </c>
      <c r="T23" s="7">
        <v>4128</v>
      </c>
      <c r="U23" s="7">
        <v>3865</v>
      </c>
      <c r="V23" s="7" t="s">
        <v>233</v>
      </c>
      <c r="W23" s="7" t="s">
        <v>234</v>
      </c>
    </row>
    <row r="24" spans="1:23" x14ac:dyDescent="0.3">
      <c r="A24" t="s">
        <v>25</v>
      </c>
      <c r="B24" s="12" t="s">
        <v>170</v>
      </c>
      <c r="F24" t="s">
        <v>174</v>
      </c>
      <c r="G24" t="s">
        <v>175</v>
      </c>
      <c r="H24" t="s">
        <v>175</v>
      </c>
      <c r="I24" s="7" t="s">
        <v>176</v>
      </c>
      <c r="J24" s="7"/>
      <c r="K24" s="7" t="s">
        <v>178</v>
      </c>
      <c r="L24" s="7" t="s">
        <v>177</v>
      </c>
      <c r="M24" s="7" t="s">
        <v>23</v>
      </c>
      <c r="N24" s="7">
        <v>4411033</v>
      </c>
      <c r="O24" s="7">
        <v>1</v>
      </c>
      <c r="P24" s="7">
        <v>4411033</v>
      </c>
      <c r="Q24" s="7">
        <v>4411033</v>
      </c>
      <c r="R24" s="7">
        <v>1</v>
      </c>
      <c r="S24" s="7">
        <v>1</v>
      </c>
      <c r="T24" s="7">
        <v>4157</v>
      </c>
      <c r="U24" s="7">
        <v>3903</v>
      </c>
      <c r="V24" s="7" t="s">
        <v>179</v>
      </c>
      <c r="W24" s="7" t="s">
        <v>173</v>
      </c>
    </row>
    <row r="25" spans="1:23" x14ac:dyDescent="0.3">
      <c r="A25" t="s">
        <v>25</v>
      </c>
      <c r="B25" s="12" t="s">
        <v>171</v>
      </c>
      <c r="F25" t="s">
        <v>182</v>
      </c>
      <c r="G25" t="s">
        <v>180</v>
      </c>
      <c r="H25" t="s">
        <v>180</v>
      </c>
      <c r="I25" t="s">
        <v>181</v>
      </c>
      <c r="K25" t="s">
        <v>183</v>
      </c>
      <c r="L25" t="s">
        <v>177</v>
      </c>
      <c r="M25" t="s">
        <v>23</v>
      </c>
      <c r="N25">
        <v>4421540</v>
      </c>
      <c r="O25">
        <v>1</v>
      </c>
      <c r="P25">
        <v>4421540</v>
      </c>
      <c r="Q25">
        <v>4421540</v>
      </c>
      <c r="R25">
        <v>1</v>
      </c>
      <c r="S25">
        <v>1</v>
      </c>
      <c r="T25">
        <v>4163</v>
      </c>
      <c r="U25">
        <v>3915</v>
      </c>
      <c r="V25" t="s">
        <v>184</v>
      </c>
      <c r="W25" t="s">
        <v>173</v>
      </c>
    </row>
    <row r="26" spans="1:23" x14ac:dyDescent="0.3">
      <c r="A26" t="s">
        <v>25</v>
      </c>
      <c r="B26" s="12" t="s">
        <v>172</v>
      </c>
      <c r="D26" s="12"/>
      <c r="F26" s="7" t="s">
        <v>185</v>
      </c>
      <c r="G26" s="7" t="s">
        <v>186</v>
      </c>
      <c r="H26" s="7" t="s">
        <v>186</v>
      </c>
      <c r="I26" s="7" t="s">
        <v>187</v>
      </c>
      <c r="J26" s="7"/>
      <c r="K26" s="7" t="s">
        <v>188</v>
      </c>
      <c r="L26" s="7" t="s">
        <v>189</v>
      </c>
      <c r="M26" s="7" t="s">
        <v>23</v>
      </c>
      <c r="N26" s="7">
        <v>4418548</v>
      </c>
      <c r="O26" s="7">
        <v>1</v>
      </c>
      <c r="P26" s="7">
        <v>4418548</v>
      </c>
      <c r="Q26" s="7">
        <v>4418548</v>
      </c>
      <c r="R26" s="7">
        <v>1</v>
      </c>
      <c r="S26" s="7">
        <v>1</v>
      </c>
      <c r="T26" s="7">
        <v>4166</v>
      </c>
      <c r="U26" s="7">
        <v>3896</v>
      </c>
      <c r="V26" s="7" t="s">
        <v>190</v>
      </c>
      <c r="W26" s="7" t="s">
        <v>191</v>
      </c>
    </row>
    <row r="27" spans="1:23" x14ac:dyDescent="0.3">
      <c r="A27" t="s">
        <v>25</v>
      </c>
      <c r="B27" s="6" t="s">
        <v>197</v>
      </c>
      <c r="D27" s="12"/>
      <c r="F27" s="12" t="s">
        <v>198</v>
      </c>
      <c r="G27" t="s">
        <v>199</v>
      </c>
      <c r="H27" s="12" t="s">
        <v>199</v>
      </c>
      <c r="I27" s="7" t="s">
        <v>200</v>
      </c>
      <c r="J27" s="7" t="s">
        <v>201</v>
      </c>
      <c r="K27" s="7" t="s">
        <v>203</v>
      </c>
      <c r="L27" s="7" t="s">
        <v>202</v>
      </c>
      <c r="M27" s="7" t="s">
        <v>23</v>
      </c>
      <c r="N27" s="7">
        <v>4407232</v>
      </c>
      <c r="O27" s="7">
        <v>1</v>
      </c>
      <c r="P27" s="7">
        <v>4407232</v>
      </c>
      <c r="Q27" s="7">
        <v>4407232</v>
      </c>
      <c r="R27" s="7">
        <v>1</v>
      </c>
      <c r="S27" s="7">
        <v>1</v>
      </c>
      <c r="T27" s="7">
        <v>4141</v>
      </c>
      <c r="U27" s="7">
        <v>3863</v>
      </c>
      <c r="V27" s="7" t="s">
        <v>204</v>
      </c>
      <c r="W27" s="7" t="s">
        <v>205</v>
      </c>
    </row>
    <row r="28" spans="1:23" x14ac:dyDescent="0.3">
      <c r="A28" s="3" t="s">
        <v>25</v>
      </c>
      <c r="B28" s="18" t="s">
        <v>236</v>
      </c>
      <c r="D28" s="12"/>
      <c r="F28" s="12" t="s">
        <v>261</v>
      </c>
      <c r="G28" s="7" t="s">
        <v>262</v>
      </c>
      <c r="H28" s="7" t="s">
        <v>262</v>
      </c>
      <c r="I28" s="7" t="s">
        <v>263</v>
      </c>
      <c r="J28" s="7" t="s">
        <v>264</v>
      </c>
      <c r="K28" s="7" t="s">
        <v>266</v>
      </c>
      <c r="L28" s="7" t="s">
        <v>265</v>
      </c>
      <c r="M28" s="7" t="s">
        <v>24</v>
      </c>
      <c r="N28" s="7">
        <v>4404714</v>
      </c>
      <c r="O28" s="7">
        <v>94</v>
      </c>
      <c r="P28" s="7">
        <v>161478</v>
      </c>
      <c r="Q28" s="7">
        <v>4404714</v>
      </c>
      <c r="R28" s="7">
        <v>8</v>
      </c>
      <c r="S28" s="7">
        <v>1</v>
      </c>
      <c r="T28" s="7">
        <v>4224</v>
      </c>
      <c r="U28" s="7">
        <v>3920</v>
      </c>
      <c r="V28" s="14" t="s">
        <v>239</v>
      </c>
      <c r="W28" t="s">
        <v>173</v>
      </c>
    </row>
    <row r="29" spans="1:23" x14ac:dyDescent="0.3">
      <c r="A29" t="s">
        <v>25</v>
      </c>
      <c r="B29" s="12" t="s">
        <v>259</v>
      </c>
      <c r="D29" s="12"/>
      <c r="F29" s="12" t="s">
        <v>273</v>
      </c>
      <c r="G29" s="7" t="s">
        <v>271</v>
      </c>
      <c r="H29" s="7" t="s">
        <v>271</v>
      </c>
      <c r="I29" s="7" t="s">
        <v>272</v>
      </c>
      <c r="J29" s="7"/>
      <c r="K29" s="7" t="s">
        <v>275</v>
      </c>
      <c r="L29" s="7" t="s">
        <v>274</v>
      </c>
      <c r="M29" s="7" t="s">
        <v>23</v>
      </c>
      <c r="N29" s="7">
        <v>4411180</v>
      </c>
      <c r="O29" s="7">
        <v>1</v>
      </c>
      <c r="P29" s="7">
        <v>4411180</v>
      </c>
      <c r="Q29" s="7">
        <v>4411180</v>
      </c>
      <c r="R29" s="7">
        <v>1</v>
      </c>
      <c r="S29" s="7">
        <v>1</v>
      </c>
      <c r="T29" s="7">
        <v>4160</v>
      </c>
      <c r="U29" s="7">
        <v>3929</v>
      </c>
      <c r="V29" s="7" t="s">
        <v>276</v>
      </c>
      <c r="W29" t="s">
        <v>173</v>
      </c>
    </row>
    <row r="30" spans="1:23" x14ac:dyDescent="0.3">
      <c r="A30" t="s">
        <v>25</v>
      </c>
      <c r="B30" s="12" t="s">
        <v>260</v>
      </c>
      <c r="D30" s="12"/>
      <c r="F30" s="7" t="s">
        <v>277</v>
      </c>
      <c r="G30" s="7" t="s">
        <v>278</v>
      </c>
      <c r="H30" s="7" t="s">
        <v>278</v>
      </c>
      <c r="I30" s="7" t="s">
        <v>279</v>
      </c>
      <c r="J30" s="7"/>
      <c r="K30" s="7" t="s">
        <v>280</v>
      </c>
      <c r="L30" s="7" t="s">
        <v>274</v>
      </c>
      <c r="M30" s="7" t="s">
        <v>23</v>
      </c>
      <c r="N30" s="7">
        <v>4411143</v>
      </c>
      <c r="O30" s="7">
        <v>1</v>
      </c>
      <c r="P30" s="7">
        <v>4411143</v>
      </c>
      <c r="Q30" s="7">
        <v>4411143</v>
      </c>
      <c r="R30" s="7">
        <v>1</v>
      </c>
      <c r="S30" s="7">
        <v>1</v>
      </c>
      <c r="T30" s="7">
        <v>4159</v>
      </c>
      <c r="U30" s="7">
        <v>3934</v>
      </c>
      <c r="V30" s="7" t="s">
        <v>276</v>
      </c>
      <c r="W30" s="7" t="s">
        <v>281</v>
      </c>
    </row>
    <row r="31" spans="1:23" x14ac:dyDescent="0.3">
      <c r="B31" s="12"/>
      <c r="D31" s="12"/>
      <c r="F31" s="12"/>
      <c r="H31" s="12"/>
      <c r="J31" s="12"/>
      <c r="L31" s="12"/>
      <c r="N31" s="12"/>
      <c r="P31" s="12"/>
      <c r="R31" s="12"/>
      <c r="T31" s="12"/>
      <c r="V31" s="12"/>
    </row>
    <row r="32" spans="1:23" x14ac:dyDescent="0.3">
      <c r="B32" s="12"/>
      <c r="D32" s="12"/>
      <c r="F32" s="12"/>
      <c r="H32" s="12"/>
      <c r="J32" s="12"/>
      <c r="L32" s="12"/>
      <c r="N32" s="12"/>
      <c r="P32" s="12"/>
      <c r="R32" s="12"/>
      <c r="T32" s="12"/>
      <c r="V32" s="12"/>
    </row>
  </sheetData>
  <hyperlinks>
    <hyperlink ref="B15" r:id="rId1" display="https://www.ncbi.nlm.nih.gov/datasets/taxonomy/572418" xr:uid="{6582D17B-4340-4142-B1D6-465794BC67F9}"/>
    <hyperlink ref="L16" r:id="rId2" display="https://www.ncbi.nlm.nih.gov/bioproject/PRJEB8432/" xr:uid="{0FC08AAF-54DB-4F7B-AFC2-42A16C07F7D9}"/>
    <hyperlink ref="L17" r:id="rId3" display="https://www.ncbi.nlm.nih.gov/bioproject/PRJNA598991/" xr:uid="{93C6CE99-48E0-4BFA-9277-071F3BE4ADCB}"/>
    <hyperlink ref="L18" r:id="rId4" display="https://www.ncbi.nlm.nih.gov/bioproject/PRJNA641267/" xr:uid="{1B2D6357-FE77-40ED-8CE8-C07BBB0A489E}"/>
    <hyperlink ref="L15" r:id="rId5" display="https://www.ncbi.nlm.nih.gov/bioproject/PRJEA68095/" xr:uid="{0446C9CC-E382-4892-9A96-D01A6D5BAE14}"/>
    <hyperlink ref="L19" r:id="rId6" display="https://www.ncbi.nlm.nih.gov/bioproject/PRJNA276274/" xr:uid="{31FC6E83-CCFB-4F7B-9C38-9181B1475872}"/>
    <hyperlink ref="L22" r:id="rId7" display="https://www.ncbi.nlm.nih.gov/bioproject/PRJNA312026/" xr:uid="{BAF3F278-C4EB-41FD-9222-C98F7503A4FC}"/>
    <hyperlink ref="L24" r:id="rId8" display="https://www.ncbi.nlm.nih.gov/bioproject/PRJDB5607/" xr:uid="{8A0E629A-140E-441F-9F21-3C20E403F866}"/>
    <hyperlink ref="L25" r:id="rId9" display="https://www.ncbi.nlm.nih.gov/bioproject/PRJDB5607/" xr:uid="{6EF53892-3C6A-4EBB-8634-4356A3D0A024}"/>
    <hyperlink ref="L26" r:id="rId10" display="https://www.ncbi.nlm.nih.gov/bioproject/PRJNA39283/" xr:uid="{E5C94475-8610-417C-A708-B08FFA9F0D44}"/>
    <hyperlink ref="L27" r:id="rId11" display="https://www.ncbi.nlm.nih.gov/bioproject/PRJNA1085078/" xr:uid="{7548B1A7-DEA6-46C4-8D8F-A7C22909A0A1}"/>
    <hyperlink ref="L28" r:id="rId12" display="https://www.ncbi.nlm.nih.gov/bioproject/PRJNA46667/" xr:uid="{ECF80ADA-FBEA-4F4D-A167-23E50FE9FA7F}"/>
  </hyperlinks>
  <pageMargins left="0.7" right="0.7" top="0.75" bottom="0.75" header="0.3" footer="0.3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D384-F7E7-4975-B3DB-079C3CB2873B}">
  <dimension ref="A1:S30"/>
  <sheetViews>
    <sheetView topLeftCell="A5" zoomScale="40" workbookViewId="0">
      <selection activeCell="N21" sqref="N21"/>
    </sheetView>
  </sheetViews>
  <sheetFormatPr baseColWidth="10" defaultRowHeight="14.4" x14ac:dyDescent="0.3"/>
  <cols>
    <col min="1" max="1" width="26.109375" customWidth="1"/>
    <col min="2" max="2" width="34.77734375" customWidth="1"/>
    <col min="3" max="3" width="20.88671875" customWidth="1"/>
    <col min="4" max="4" width="34" customWidth="1"/>
    <col min="5" max="5" width="30.77734375" customWidth="1"/>
    <col min="6" max="6" width="32.109375" customWidth="1"/>
    <col min="7" max="15" width="22.5546875" customWidth="1"/>
  </cols>
  <sheetData>
    <row r="1" spans="1:19" ht="29.4" customHeight="1" x14ac:dyDescent="0.3">
      <c r="A1" s="51" t="s">
        <v>0</v>
      </c>
      <c r="B1" s="51" t="s">
        <v>1</v>
      </c>
      <c r="C1" s="51" t="s">
        <v>112</v>
      </c>
      <c r="D1" s="51" t="s">
        <v>323</v>
      </c>
      <c r="E1" s="51" t="s">
        <v>309</v>
      </c>
      <c r="F1" s="51" t="s">
        <v>111</v>
      </c>
      <c r="G1" s="52" t="s">
        <v>324</v>
      </c>
      <c r="H1" s="52" t="s">
        <v>325</v>
      </c>
      <c r="I1" s="52" t="s">
        <v>326</v>
      </c>
      <c r="J1" s="52" t="s">
        <v>327</v>
      </c>
      <c r="K1" s="52" t="s">
        <v>328</v>
      </c>
      <c r="L1" s="52" t="s">
        <v>338</v>
      </c>
      <c r="M1" s="52" t="s">
        <v>337</v>
      </c>
      <c r="N1" s="52" t="s">
        <v>346</v>
      </c>
      <c r="O1" s="52" t="s">
        <v>353</v>
      </c>
      <c r="P1" s="51" t="s">
        <v>316</v>
      </c>
      <c r="Q1" s="51" t="s">
        <v>240</v>
      </c>
    </row>
    <row r="2" spans="1:19" ht="52.8" customHeight="1" x14ac:dyDescent="0.3">
      <c r="A2" s="35" t="s">
        <v>25</v>
      </c>
      <c r="B2" s="34" t="s">
        <v>91</v>
      </c>
      <c r="C2" s="34">
        <v>1</v>
      </c>
      <c r="D2" s="34" t="s">
        <v>212</v>
      </c>
      <c r="E2" s="34"/>
      <c r="F2" s="34" t="s">
        <v>312</v>
      </c>
      <c r="G2" s="53" t="s">
        <v>334</v>
      </c>
      <c r="H2" s="53" t="s">
        <v>334</v>
      </c>
      <c r="I2" s="53" t="s">
        <v>334</v>
      </c>
      <c r="J2" s="53" t="s">
        <v>334</v>
      </c>
      <c r="K2" s="53" t="s">
        <v>334</v>
      </c>
      <c r="L2" s="53"/>
      <c r="M2" s="53"/>
      <c r="N2" s="53"/>
      <c r="O2" s="53"/>
      <c r="P2" s="54">
        <v>1</v>
      </c>
      <c r="Q2" s="55">
        <v>2</v>
      </c>
      <c r="S2" t="s">
        <v>310</v>
      </c>
    </row>
    <row r="3" spans="1:19" ht="52.8" customHeight="1" x14ac:dyDescent="0.3">
      <c r="A3" s="35" t="s">
        <v>25</v>
      </c>
      <c r="B3" s="34" t="s">
        <v>154</v>
      </c>
      <c r="C3" s="34">
        <v>1</v>
      </c>
      <c r="D3" s="34" t="s">
        <v>213</v>
      </c>
      <c r="E3" s="34"/>
      <c r="F3" s="34" t="s">
        <v>311</v>
      </c>
      <c r="G3" s="53" t="s">
        <v>283</v>
      </c>
      <c r="H3" s="53" t="s">
        <v>283</v>
      </c>
      <c r="I3" s="53" t="s">
        <v>283</v>
      </c>
      <c r="J3" s="53" t="s">
        <v>283</v>
      </c>
      <c r="K3" s="53" t="s">
        <v>283</v>
      </c>
      <c r="L3" s="53"/>
      <c r="M3" s="53"/>
      <c r="N3" s="53"/>
      <c r="O3" s="53"/>
      <c r="P3" s="54">
        <v>1</v>
      </c>
      <c r="Q3" s="55"/>
      <c r="S3" t="s">
        <v>329</v>
      </c>
    </row>
    <row r="4" spans="1:19" ht="52.8" customHeight="1" x14ac:dyDescent="0.3">
      <c r="A4" s="35" t="s">
        <v>25</v>
      </c>
      <c r="B4" s="34" t="s">
        <v>155</v>
      </c>
      <c r="C4" s="34">
        <v>1</v>
      </c>
      <c r="D4" s="34" t="s">
        <v>211</v>
      </c>
      <c r="E4" s="34"/>
      <c r="F4" s="34" t="s">
        <v>207</v>
      </c>
      <c r="G4" s="53" t="s">
        <v>283</v>
      </c>
      <c r="H4" s="53" t="s">
        <v>283</v>
      </c>
      <c r="I4" s="53" t="s">
        <v>283</v>
      </c>
      <c r="J4" s="53" t="s">
        <v>283</v>
      </c>
      <c r="K4" s="53" t="s">
        <v>283</v>
      </c>
      <c r="L4" s="53"/>
      <c r="M4" s="53"/>
      <c r="N4" s="53"/>
      <c r="O4" s="53"/>
      <c r="P4" s="54">
        <v>1</v>
      </c>
      <c r="Q4" s="55"/>
      <c r="S4" t="s">
        <v>330</v>
      </c>
    </row>
    <row r="5" spans="1:19" ht="52.8" customHeight="1" x14ac:dyDescent="0.3">
      <c r="A5" s="35" t="s">
        <v>25</v>
      </c>
      <c r="B5" s="34" t="s">
        <v>227</v>
      </c>
      <c r="C5" s="34">
        <v>2</v>
      </c>
      <c r="D5" s="34" t="s">
        <v>195</v>
      </c>
      <c r="E5" s="34" t="s">
        <v>226</v>
      </c>
      <c r="F5" s="34" t="s">
        <v>207</v>
      </c>
      <c r="G5" s="53" t="s">
        <v>334</v>
      </c>
      <c r="H5" s="53" t="s">
        <v>334</v>
      </c>
      <c r="I5" s="53" t="s">
        <v>334</v>
      </c>
      <c r="J5" s="53" t="s">
        <v>334</v>
      </c>
      <c r="K5" s="53" t="s">
        <v>334</v>
      </c>
      <c r="L5" s="53"/>
      <c r="M5" s="53"/>
      <c r="N5" s="53"/>
      <c r="O5" s="53"/>
      <c r="P5" s="54">
        <v>1</v>
      </c>
      <c r="Q5" s="55"/>
    </row>
    <row r="6" spans="1:19" ht="52.8" customHeight="1" x14ac:dyDescent="0.3">
      <c r="A6" s="35" t="s">
        <v>25</v>
      </c>
      <c r="B6" s="34" t="s">
        <v>35</v>
      </c>
      <c r="C6" s="34">
        <v>2</v>
      </c>
      <c r="D6" s="34" t="s">
        <v>169</v>
      </c>
      <c r="E6" s="34"/>
      <c r="F6" s="34" t="s">
        <v>315</v>
      </c>
      <c r="G6" s="53" t="s">
        <v>283</v>
      </c>
      <c r="H6" s="53" t="s">
        <v>283</v>
      </c>
      <c r="I6" s="53" t="s">
        <v>283</v>
      </c>
      <c r="J6" s="53" t="s">
        <v>283</v>
      </c>
      <c r="K6" s="53"/>
      <c r="L6" s="53"/>
      <c r="M6" s="53"/>
      <c r="N6" s="53"/>
      <c r="O6" s="53"/>
      <c r="P6" s="54">
        <v>1</v>
      </c>
      <c r="Q6" s="55"/>
    </row>
    <row r="7" spans="1:19" ht="52.8" customHeight="1" x14ac:dyDescent="0.3">
      <c r="A7" s="35" t="s">
        <v>25</v>
      </c>
      <c r="B7" s="34" t="s">
        <v>36</v>
      </c>
      <c r="C7" s="34">
        <v>2</v>
      </c>
      <c r="D7" s="34" t="s">
        <v>169</v>
      </c>
      <c r="E7" s="34"/>
      <c r="F7" s="34" t="s">
        <v>313</v>
      </c>
      <c r="G7" s="53" t="s">
        <v>284</v>
      </c>
      <c r="H7" s="53" t="s">
        <v>284</v>
      </c>
      <c r="I7" s="53" t="s">
        <v>284</v>
      </c>
      <c r="J7" s="53" t="s">
        <v>284</v>
      </c>
      <c r="K7" s="53"/>
      <c r="L7" s="53"/>
      <c r="M7" s="53"/>
      <c r="N7" s="53"/>
      <c r="O7" s="53"/>
      <c r="P7" s="54"/>
      <c r="Q7" s="55"/>
      <c r="S7" t="s">
        <v>331</v>
      </c>
    </row>
    <row r="8" spans="1:19" ht="52.8" customHeight="1" x14ac:dyDescent="0.3">
      <c r="A8" s="35" t="s">
        <v>25</v>
      </c>
      <c r="B8" s="34" t="s">
        <v>170</v>
      </c>
      <c r="C8" s="34">
        <v>2</v>
      </c>
      <c r="D8" s="34" t="s">
        <v>192</v>
      </c>
      <c r="E8" s="34"/>
      <c r="F8" s="34" t="s">
        <v>315</v>
      </c>
      <c r="G8" s="53" t="s">
        <v>283</v>
      </c>
      <c r="H8" s="53" t="s">
        <v>283</v>
      </c>
      <c r="I8" s="53" t="s">
        <v>283</v>
      </c>
      <c r="J8" s="53" t="s">
        <v>283</v>
      </c>
      <c r="K8" s="53"/>
      <c r="L8" s="53"/>
      <c r="M8" s="53"/>
      <c r="N8" s="53"/>
      <c r="O8" s="53"/>
      <c r="P8" s="54">
        <v>1</v>
      </c>
      <c r="Q8" s="55"/>
      <c r="S8" t="s">
        <v>332</v>
      </c>
    </row>
    <row r="9" spans="1:19" ht="52.8" customHeight="1" x14ac:dyDescent="0.3">
      <c r="A9" s="35" t="s">
        <v>25</v>
      </c>
      <c r="B9" s="34" t="s">
        <v>171</v>
      </c>
      <c r="C9" s="34">
        <v>2</v>
      </c>
      <c r="D9" s="34" t="s">
        <v>193</v>
      </c>
      <c r="E9" s="34"/>
      <c r="F9" s="34" t="s">
        <v>314</v>
      </c>
      <c r="G9" s="53"/>
      <c r="H9" s="53" t="s">
        <v>284</v>
      </c>
      <c r="I9" s="53"/>
      <c r="J9" s="53" t="s">
        <v>284</v>
      </c>
      <c r="K9" s="53"/>
      <c r="L9" s="53"/>
      <c r="M9" s="53"/>
      <c r="N9" s="53"/>
      <c r="O9" s="53"/>
      <c r="P9" s="54">
        <v>1</v>
      </c>
      <c r="Q9" s="55"/>
      <c r="S9" t="s">
        <v>333</v>
      </c>
    </row>
    <row r="10" spans="1:19" ht="52.8" customHeight="1" x14ac:dyDescent="0.3">
      <c r="A10" s="35" t="s">
        <v>25</v>
      </c>
      <c r="B10" s="34" t="s">
        <v>110</v>
      </c>
      <c r="C10" s="34">
        <v>2</v>
      </c>
      <c r="D10" s="34" t="s">
        <v>318</v>
      </c>
      <c r="E10" s="34" t="s">
        <v>317</v>
      </c>
      <c r="F10" s="34" t="s">
        <v>207</v>
      </c>
      <c r="G10" s="53" t="s">
        <v>334</v>
      </c>
      <c r="H10" s="53" t="s">
        <v>334</v>
      </c>
      <c r="I10" s="53" t="s">
        <v>334</v>
      </c>
      <c r="J10" s="53" t="s">
        <v>334</v>
      </c>
      <c r="K10" s="53"/>
      <c r="L10" s="53"/>
      <c r="M10" s="53"/>
      <c r="N10" s="53"/>
      <c r="O10" s="53"/>
      <c r="P10" s="54">
        <v>1</v>
      </c>
      <c r="Q10" s="55"/>
      <c r="S10" t="s">
        <v>336</v>
      </c>
    </row>
    <row r="11" spans="1:19" ht="52.8" customHeight="1" x14ac:dyDescent="0.3">
      <c r="A11" s="35" t="s">
        <v>25</v>
      </c>
      <c r="B11" s="34" t="s">
        <v>72</v>
      </c>
      <c r="C11" s="34">
        <v>2</v>
      </c>
      <c r="D11" s="34" t="s">
        <v>319</v>
      </c>
      <c r="E11" s="34"/>
      <c r="F11" s="34" t="s">
        <v>320</v>
      </c>
      <c r="G11" s="53" t="s">
        <v>284</v>
      </c>
      <c r="H11" s="53" t="s">
        <v>284</v>
      </c>
      <c r="I11" s="53" t="s">
        <v>283</v>
      </c>
      <c r="J11" s="53"/>
      <c r="K11" s="53"/>
      <c r="L11" s="53"/>
      <c r="M11" s="53"/>
      <c r="N11" s="53"/>
      <c r="O11" s="53"/>
      <c r="P11" s="54">
        <v>1</v>
      </c>
      <c r="Q11" s="55"/>
    </row>
    <row r="12" spans="1:19" ht="52.8" customHeight="1" x14ac:dyDescent="0.3">
      <c r="A12" s="35" t="s">
        <v>25</v>
      </c>
      <c r="B12" s="34" t="s">
        <v>172</v>
      </c>
      <c r="C12" s="34">
        <v>2</v>
      </c>
      <c r="D12" s="34" t="s">
        <v>242</v>
      </c>
      <c r="E12" s="34"/>
      <c r="F12" s="34" t="s">
        <v>206</v>
      </c>
      <c r="G12" s="53" t="s">
        <v>335</v>
      </c>
      <c r="H12" s="53" t="s">
        <v>335</v>
      </c>
      <c r="I12" s="53" t="s">
        <v>335</v>
      </c>
      <c r="J12" s="53" t="s">
        <v>335</v>
      </c>
      <c r="K12" s="53"/>
      <c r="L12" s="53" t="s">
        <v>335</v>
      </c>
      <c r="M12" s="53" t="s">
        <v>335</v>
      </c>
      <c r="N12" s="53"/>
      <c r="O12" s="53"/>
      <c r="P12" s="54">
        <v>1</v>
      </c>
      <c r="Q12" s="55" t="s">
        <v>241</v>
      </c>
    </row>
    <row r="13" spans="1:19" ht="52.8" customHeight="1" x14ac:dyDescent="0.3">
      <c r="A13" s="35" t="s">
        <v>25</v>
      </c>
      <c r="B13" s="34" t="s">
        <v>236</v>
      </c>
      <c r="C13" s="34">
        <v>2</v>
      </c>
      <c r="D13" s="34" t="s">
        <v>267</v>
      </c>
      <c r="E13" s="34"/>
      <c r="F13" s="34" t="s">
        <v>345</v>
      </c>
      <c r="G13" s="53" t="s">
        <v>284</v>
      </c>
      <c r="H13" s="53" t="s">
        <v>284</v>
      </c>
      <c r="I13" s="53" t="s">
        <v>283</v>
      </c>
      <c r="J13" s="53"/>
      <c r="K13" s="53"/>
      <c r="L13" s="53" t="s">
        <v>344</v>
      </c>
      <c r="M13" s="53" t="s">
        <v>347</v>
      </c>
      <c r="N13" s="53" t="s">
        <v>283</v>
      </c>
      <c r="O13" s="53"/>
      <c r="P13" s="54">
        <v>1</v>
      </c>
      <c r="Q13" s="55"/>
    </row>
    <row r="14" spans="1:19" ht="52.8" customHeight="1" x14ac:dyDescent="0.3">
      <c r="A14" s="35" t="s">
        <v>25</v>
      </c>
      <c r="B14" s="34" t="s">
        <v>214</v>
      </c>
      <c r="C14" s="34">
        <v>3</v>
      </c>
      <c r="D14" s="34" t="s">
        <v>222</v>
      </c>
      <c r="E14" s="34"/>
      <c r="F14" s="34" t="s">
        <v>348</v>
      </c>
      <c r="G14" s="53" t="s">
        <v>335</v>
      </c>
      <c r="H14" s="53" t="s">
        <v>335</v>
      </c>
      <c r="I14" s="53" t="s">
        <v>334</v>
      </c>
      <c r="J14" s="53" t="s">
        <v>335</v>
      </c>
      <c r="K14" s="53"/>
      <c r="L14" s="53" t="s">
        <v>335</v>
      </c>
      <c r="M14" s="53"/>
      <c r="N14" s="53"/>
      <c r="O14" s="53"/>
      <c r="P14" s="54"/>
      <c r="Q14" s="55"/>
    </row>
    <row r="15" spans="1:19" ht="52.8" customHeight="1" x14ac:dyDescent="0.3">
      <c r="A15" s="35" t="s">
        <v>25</v>
      </c>
      <c r="B15" s="34" t="s">
        <v>145</v>
      </c>
      <c r="C15" s="34">
        <v>3</v>
      </c>
      <c r="D15" s="34"/>
      <c r="E15" s="34"/>
      <c r="F15" s="34" t="s">
        <v>349</v>
      </c>
      <c r="G15" s="53" t="s">
        <v>283</v>
      </c>
      <c r="H15" s="53" t="s">
        <v>283</v>
      </c>
      <c r="I15" s="53" t="s">
        <v>283</v>
      </c>
      <c r="J15" s="53" t="s">
        <v>283</v>
      </c>
      <c r="K15" s="53" t="s">
        <v>283</v>
      </c>
      <c r="L15" s="53"/>
      <c r="M15" s="53"/>
      <c r="N15" s="53"/>
      <c r="O15" s="53"/>
      <c r="P15" s="54">
        <v>1</v>
      </c>
      <c r="Q15" s="55"/>
    </row>
    <row r="16" spans="1:19" ht="52.8" customHeight="1" x14ac:dyDescent="0.3">
      <c r="A16" s="35" t="s">
        <v>25</v>
      </c>
      <c r="B16" s="34" t="s">
        <v>29</v>
      </c>
      <c r="C16" s="34">
        <v>4</v>
      </c>
      <c r="D16" s="34"/>
      <c r="E16" s="34"/>
      <c r="F16" s="34" t="s">
        <v>349</v>
      </c>
      <c r="G16" s="53" t="s">
        <v>283</v>
      </c>
      <c r="H16" s="53" t="s">
        <v>283</v>
      </c>
      <c r="I16" s="53" t="s">
        <v>283</v>
      </c>
      <c r="J16" s="53" t="s">
        <v>283</v>
      </c>
      <c r="K16" s="53" t="s">
        <v>283</v>
      </c>
      <c r="L16" s="53"/>
      <c r="M16" s="53"/>
      <c r="N16" s="53"/>
      <c r="O16" s="53"/>
      <c r="P16" s="54">
        <v>1</v>
      </c>
      <c r="Q16" s="55"/>
    </row>
    <row r="17" spans="1:17" ht="52.8" customHeight="1" x14ac:dyDescent="0.3">
      <c r="A17" s="35" t="s">
        <v>25</v>
      </c>
      <c r="B17" s="34" t="s">
        <v>27</v>
      </c>
      <c r="C17" s="34">
        <v>4</v>
      </c>
      <c r="D17" s="34"/>
      <c r="E17" s="34" t="s">
        <v>251</v>
      </c>
      <c r="F17" s="34" t="s">
        <v>349</v>
      </c>
      <c r="G17" s="53" t="s">
        <v>283</v>
      </c>
      <c r="H17" s="53" t="s">
        <v>283</v>
      </c>
      <c r="I17" s="53" t="s">
        <v>283</v>
      </c>
      <c r="J17" s="53" t="s">
        <v>283</v>
      </c>
      <c r="K17" s="53" t="s">
        <v>283</v>
      </c>
      <c r="L17" s="53"/>
      <c r="M17" s="53"/>
      <c r="N17" s="53"/>
      <c r="O17" s="53"/>
      <c r="P17" s="54">
        <v>1</v>
      </c>
      <c r="Q17" s="55"/>
    </row>
    <row r="18" spans="1:17" ht="52.8" customHeight="1" x14ac:dyDescent="0.3">
      <c r="A18" s="35" t="s">
        <v>25</v>
      </c>
      <c r="B18" s="34" t="s">
        <v>39</v>
      </c>
      <c r="C18" s="34">
        <v>4</v>
      </c>
      <c r="D18" s="34"/>
      <c r="E18" s="34" t="s">
        <v>253</v>
      </c>
      <c r="F18" s="34" t="s">
        <v>315</v>
      </c>
      <c r="G18" s="53" t="s">
        <v>283</v>
      </c>
      <c r="H18" s="53" t="s">
        <v>283</v>
      </c>
      <c r="I18" s="53" t="s">
        <v>283</v>
      </c>
      <c r="J18" s="53" t="s">
        <v>283</v>
      </c>
      <c r="K18" s="53"/>
      <c r="L18" s="53"/>
      <c r="M18" s="53"/>
      <c r="N18" s="53"/>
      <c r="O18" s="53"/>
      <c r="P18" s="54">
        <v>1</v>
      </c>
      <c r="Q18" s="55"/>
    </row>
    <row r="19" spans="1:17" ht="52.8" customHeight="1" x14ac:dyDescent="0.3">
      <c r="A19" s="35" t="s">
        <v>25</v>
      </c>
      <c r="B19" s="34" t="s">
        <v>28</v>
      </c>
      <c r="C19" s="34">
        <v>4</v>
      </c>
      <c r="D19" s="34"/>
      <c r="E19" s="34"/>
      <c r="F19" s="34" t="s">
        <v>350</v>
      </c>
      <c r="G19" s="53" t="s">
        <v>283</v>
      </c>
      <c r="H19" s="53" t="s">
        <v>283</v>
      </c>
      <c r="I19" s="53" t="s">
        <v>283</v>
      </c>
      <c r="J19" s="53" t="s">
        <v>283</v>
      </c>
      <c r="K19" s="53"/>
      <c r="L19" s="53"/>
      <c r="M19" s="53"/>
      <c r="N19" s="53"/>
      <c r="O19" s="53"/>
      <c r="P19" s="54">
        <v>1</v>
      </c>
      <c r="Q19" s="55"/>
    </row>
    <row r="20" spans="1:17" ht="52.8" customHeight="1" x14ac:dyDescent="0.3">
      <c r="A20" s="35" t="s">
        <v>25</v>
      </c>
      <c r="B20" s="34" t="s">
        <v>26</v>
      </c>
      <c r="C20" s="34">
        <v>4</v>
      </c>
      <c r="D20" s="34" t="s">
        <v>194</v>
      </c>
      <c r="E20" s="34"/>
      <c r="F20" s="34" t="s">
        <v>349</v>
      </c>
      <c r="G20" s="53" t="s">
        <v>283</v>
      </c>
      <c r="H20" s="53" t="s">
        <v>283</v>
      </c>
      <c r="I20" s="53" t="s">
        <v>283</v>
      </c>
      <c r="J20" s="53" t="s">
        <v>283</v>
      </c>
      <c r="K20" s="53" t="s">
        <v>283</v>
      </c>
      <c r="L20" s="53"/>
      <c r="M20" s="53"/>
      <c r="N20" s="53"/>
      <c r="O20" s="53"/>
      <c r="P20" s="54">
        <v>1</v>
      </c>
      <c r="Q20" s="55"/>
    </row>
    <row r="21" spans="1:17" ht="52.8" customHeight="1" x14ac:dyDescent="0.3">
      <c r="A21" s="35" t="s">
        <v>25</v>
      </c>
      <c r="B21" s="34" t="s">
        <v>37</v>
      </c>
      <c r="C21" s="34">
        <v>4</v>
      </c>
      <c r="D21" s="34"/>
      <c r="E21" s="34" t="s">
        <v>256</v>
      </c>
      <c r="F21" s="34" t="s">
        <v>351</v>
      </c>
      <c r="G21" s="53" t="s">
        <v>335</v>
      </c>
      <c r="H21" s="53" t="s">
        <v>335</v>
      </c>
      <c r="I21" s="53" t="s">
        <v>335</v>
      </c>
      <c r="J21" s="53" t="s">
        <v>335</v>
      </c>
      <c r="K21" s="53" t="s">
        <v>335</v>
      </c>
      <c r="L21" s="53"/>
      <c r="M21" s="53"/>
      <c r="N21" s="53"/>
      <c r="O21" s="53"/>
      <c r="P21" s="54">
        <v>1</v>
      </c>
      <c r="Q21" s="55">
        <v>2</v>
      </c>
    </row>
    <row r="22" spans="1:17" ht="52.8" customHeight="1" x14ac:dyDescent="0.3">
      <c r="A22" s="35" t="s">
        <v>25</v>
      </c>
      <c r="B22" s="34" t="s">
        <v>52</v>
      </c>
      <c r="C22" s="34">
        <v>4</v>
      </c>
      <c r="D22" s="34"/>
      <c r="E22" s="34"/>
      <c r="F22" s="34" t="s">
        <v>352</v>
      </c>
      <c r="G22" s="53" t="s">
        <v>284</v>
      </c>
      <c r="H22" s="53" t="s">
        <v>284</v>
      </c>
      <c r="I22" s="53"/>
      <c r="J22" s="53"/>
      <c r="K22" s="53"/>
      <c r="L22" s="53"/>
      <c r="M22" s="53"/>
      <c r="N22" s="53"/>
      <c r="O22" s="53"/>
      <c r="P22" s="54">
        <v>1</v>
      </c>
      <c r="Q22" s="55"/>
    </row>
    <row r="23" spans="1:17" ht="52.8" customHeight="1" x14ac:dyDescent="0.3">
      <c r="A23" s="35" t="s">
        <v>25</v>
      </c>
      <c r="B23" s="34" t="s">
        <v>59</v>
      </c>
      <c r="C23" s="34">
        <v>4</v>
      </c>
      <c r="D23" s="34"/>
      <c r="E23" s="34"/>
      <c r="F23" s="34" t="s">
        <v>258</v>
      </c>
      <c r="G23" s="53" t="s">
        <v>284</v>
      </c>
      <c r="H23" s="53" t="s">
        <v>284</v>
      </c>
      <c r="I23" s="53" t="s">
        <v>284</v>
      </c>
      <c r="J23" s="53" t="s">
        <v>284</v>
      </c>
      <c r="K23" s="53"/>
      <c r="L23" s="56" t="s">
        <v>344</v>
      </c>
      <c r="M23" s="56" t="s">
        <v>354</v>
      </c>
      <c r="N23" s="53"/>
      <c r="O23" s="53" t="s">
        <v>284</v>
      </c>
      <c r="P23" s="54">
        <v>1</v>
      </c>
      <c r="Q23" s="55"/>
    </row>
    <row r="24" spans="1:17" ht="52.8" customHeight="1" x14ac:dyDescent="0.3">
      <c r="A24" s="35" t="s">
        <v>25</v>
      </c>
      <c r="B24" s="34" t="s">
        <v>259</v>
      </c>
      <c r="C24" s="34">
        <v>4</v>
      </c>
      <c r="D24" s="34" t="s">
        <v>268</v>
      </c>
      <c r="E24" s="34"/>
      <c r="F24" s="34" t="s">
        <v>270</v>
      </c>
      <c r="G24" s="53"/>
      <c r="H24" s="53"/>
      <c r="I24" s="53"/>
      <c r="J24" s="53"/>
      <c r="K24" s="53" t="s">
        <v>284</v>
      </c>
      <c r="L24" s="53"/>
      <c r="M24" s="53"/>
      <c r="N24" s="53"/>
      <c r="O24" s="53"/>
      <c r="P24" s="54">
        <v>1</v>
      </c>
      <c r="Q24" s="55"/>
    </row>
    <row r="25" spans="1:17" ht="52.8" customHeight="1" x14ac:dyDescent="0.3">
      <c r="A25" s="35" t="s">
        <v>25</v>
      </c>
      <c r="B25" s="34" t="s">
        <v>260</v>
      </c>
      <c r="C25" s="34">
        <v>4</v>
      </c>
      <c r="D25" s="34" t="s">
        <v>269</v>
      </c>
      <c r="E25" s="34"/>
      <c r="F25" s="34" t="s">
        <v>270</v>
      </c>
      <c r="G25" s="53"/>
      <c r="H25" s="53"/>
      <c r="I25" s="53"/>
      <c r="J25" s="53"/>
      <c r="K25" s="53" t="s">
        <v>284</v>
      </c>
      <c r="L25" s="53"/>
      <c r="M25" s="53"/>
      <c r="N25" s="53"/>
      <c r="O25" s="53"/>
      <c r="P25" s="54">
        <v>1</v>
      </c>
      <c r="Q25" s="55"/>
    </row>
    <row r="26" spans="1:17" ht="52.8" customHeight="1" x14ac:dyDescent="0.3">
      <c r="A26" s="35" t="s">
        <v>25</v>
      </c>
      <c r="B26" s="34" t="s">
        <v>196</v>
      </c>
      <c r="C26" s="34">
        <v>5</v>
      </c>
      <c r="D26" s="34"/>
      <c r="E26" s="34"/>
      <c r="F26" s="34" t="s">
        <v>223</v>
      </c>
      <c r="G26" s="53" t="s">
        <v>334</v>
      </c>
      <c r="H26" s="53" t="s">
        <v>334</v>
      </c>
      <c r="I26" s="53" t="s">
        <v>334</v>
      </c>
      <c r="J26" s="53" t="s">
        <v>334</v>
      </c>
      <c r="K26" s="53" t="s">
        <v>334</v>
      </c>
      <c r="L26" s="53"/>
      <c r="M26" s="53"/>
      <c r="N26" s="53"/>
      <c r="O26" s="53"/>
      <c r="P26" s="54" t="s">
        <v>223</v>
      </c>
      <c r="Q26" s="55"/>
    </row>
    <row r="27" spans="1:17" ht="52.8" customHeight="1" x14ac:dyDescent="0.3">
      <c r="A27" s="35" t="s">
        <v>25</v>
      </c>
      <c r="B27" s="34" t="s">
        <v>113</v>
      </c>
      <c r="C27" s="34">
        <v>6</v>
      </c>
      <c r="D27" s="34" t="s">
        <v>224</v>
      </c>
      <c r="E27" s="34"/>
      <c r="F27" s="34" t="s">
        <v>349</v>
      </c>
      <c r="G27" s="53" t="s">
        <v>283</v>
      </c>
      <c r="H27" s="53" t="s">
        <v>283</v>
      </c>
      <c r="I27" s="53" t="s">
        <v>283</v>
      </c>
      <c r="J27" s="53" t="s">
        <v>283</v>
      </c>
      <c r="K27" s="53" t="s">
        <v>283</v>
      </c>
      <c r="L27" s="53"/>
      <c r="M27" s="53"/>
      <c r="N27" s="53"/>
      <c r="O27" s="53"/>
      <c r="P27" s="54">
        <v>1</v>
      </c>
      <c r="Q27" s="55">
        <v>2</v>
      </c>
    </row>
    <row r="28" spans="1:17" ht="52.8" customHeight="1" x14ac:dyDescent="0.3">
      <c r="A28" s="35" t="s">
        <v>25</v>
      </c>
      <c r="B28" s="34" t="s">
        <v>114</v>
      </c>
      <c r="C28" s="34">
        <v>7</v>
      </c>
      <c r="D28" s="34" t="s">
        <v>225</v>
      </c>
      <c r="E28" s="34"/>
      <c r="F28" s="34" t="s">
        <v>349</v>
      </c>
      <c r="G28" s="53" t="s">
        <v>283</v>
      </c>
      <c r="H28" s="53" t="s">
        <v>283</v>
      </c>
      <c r="I28" s="53" t="s">
        <v>283</v>
      </c>
      <c r="J28" s="53" t="s">
        <v>283</v>
      </c>
      <c r="K28" s="53" t="s">
        <v>283</v>
      </c>
      <c r="L28" s="53"/>
      <c r="M28" s="53"/>
      <c r="N28" s="53"/>
      <c r="O28" s="53"/>
      <c r="P28" s="54">
        <v>1</v>
      </c>
      <c r="Q28" s="55"/>
    </row>
    <row r="29" spans="1:17" ht="52.8" customHeight="1" x14ac:dyDescent="0.3">
      <c r="A29" s="35" t="s">
        <v>25</v>
      </c>
      <c r="B29" s="34" t="s">
        <v>125</v>
      </c>
      <c r="C29" s="34">
        <v>8</v>
      </c>
      <c r="D29" s="34"/>
      <c r="E29" s="34"/>
      <c r="F29" s="34" t="s">
        <v>321</v>
      </c>
      <c r="G29" s="53" t="s">
        <v>284</v>
      </c>
      <c r="H29" s="53" t="s">
        <v>284</v>
      </c>
      <c r="I29" s="53" t="s">
        <v>283</v>
      </c>
      <c r="J29" s="53"/>
      <c r="K29" s="53"/>
      <c r="L29" s="53" t="s">
        <v>283</v>
      </c>
      <c r="M29" s="53" t="s">
        <v>283</v>
      </c>
      <c r="N29" s="53"/>
      <c r="O29" s="53"/>
      <c r="P29" s="54">
        <v>1</v>
      </c>
      <c r="Q29" s="55"/>
    </row>
    <row r="30" spans="1:17" ht="52.8" customHeight="1" x14ac:dyDescent="0.3">
      <c r="A30" s="35" t="s">
        <v>25</v>
      </c>
      <c r="B30" s="34" t="s">
        <v>197</v>
      </c>
      <c r="C30" s="34">
        <v>9</v>
      </c>
      <c r="D30" s="34"/>
      <c r="E30" s="34"/>
      <c r="F30" s="34" t="s">
        <v>223</v>
      </c>
      <c r="G30" s="53"/>
      <c r="H30" s="53"/>
      <c r="I30" s="53"/>
      <c r="J30" s="53"/>
      <c r="K30" s="53"/>
      <c r="L30" s="53"/>
      <c r="M30" s="53"/>
      <c r="N30" s="53"/>
      <c r="O30" s="53"/>
      <c r="P30" s="54">
        <v>1</v>
      </c>
      <c r="Q30" s="55"/>
    </row>
  </sheetData>
  <phoneticPr fontId="5" type="noConversion"/>
  <conditionalFormatting sqref="G2:O30">
    <cfRule type="containsText" dxfId="5" priority="1" operator="containsText" text="PR">
      <formula>NOT(ISERROR(SEARCH("PR",G2)))</formula>
    </cfRule>
    <cfRule type="containsText" dxfId="4" priority="2" operator="containsText" text="PS">
      <formula>NOT(ISERROR(SEARCH("PS",G2)))</formula>
    </cfRule>
    <cfRule type="cellIs" dxfId="3" priority="3" operator="equal">
      <formula>"S"</formula>
    </cfRule>
    <cfRule type="cellIs" dxfId="2" priority="4" operator="equal">
      <formula>"R"</formula>
    </cfRule>
  </conditionalFormatting>
  <hyperlinks>
    <hyperlink ref="P21" r:id="rId1" display="https://www.journalofinfection.com/article/S0163-4453(05)00773-5/abstract" xr:uid="{F15F401D-7AAF-42C4-9ABC-14216EAA729A}"/>
    <hyperlink ref="P11" r:id="rId2" location="_ad93_" display="https://pmc.ncbi.nlm.nih.gov/articles/PMC3091785/ - _ad93_" xr:uid="{E20B4E04-100A-4B46-A014-203ABA8FA853}"/>
    <hyperlink ref="P3" r:id="rId3" display="https://pmc.ncbi.nlm.nih.gov/articles/PMC5473266/" xr:uid="{2C51DDE1-CF83-4C2B-8052-0171458D6AF2}"/>
    <hyperlink ref="P2" r:id="rId4" display="https://www.jidc.org/index.php/journal/article/view/37699092/3148" xr:uid="{80509976-837D-4EB8-90B2-73F9472B8951}"/>
    <hyperlink ref="P4" r:id="rId5" display="https://pmc.ncbi.nlm.nih.gov/articles/PMC4888981/" xr:uid="{42BC596B-2408-4AB3-878A-C90C4864F221}"/>
    <hyperlink ref="P15" r:id="rId6" display="https://pubmed.ncbi.nlm.nih.gov/25999550/" xr:uid="{AEA0C061-62C7-4DCC-A074-7532AB0DCAAC}"/>
    <hyperlink ref="P27" r:id="rId7" display="https://pmc.ncbi.nlm.nih.gov/articles/PMC3289620/" xr:uid="{0EEC31CC-7C5E-4E9C-8F67-C57DA72DACAF}"/>
    <hyperlink ref="P28" r:id="rId8" display="https://pmc.ncbi.nlm.nih.gov/articles/PMC5320646/" xr:uid="{5ED56439-2D56-413C-9C72-4AA94F38A330}"/>
    <hyperlink ref="P30" r:id="rId9" location="_ad93_" display="https://pmc.ncbi.nlm.nih.gov/articles/PMC12413193/ - _ad93_" xr:uid="{6672BE9A-00C9-466B-985C-BA8ED0D89B52}"/>
    <hyperlink ref="P5" r:id="rId10" display="https://pmc.ncbi.nlm.nih.gov/articles/PMC4241656/" xr:uid="{4572F7D1-A191-4339-B284-A53EB88E3014}"/>
    <hyperlink ref="P6" r:id="rId11" display="https://pmc.ncbi.nlm.nih.gov/articles/PMC3651407/" xr:uid="{3862C102-6E5C-471D-86F0-36D050402543}"/>
    <hyperlink ref="P19" r:id="rId12" display="https://link.springer.com/article/10.1007/s12539-014-0188-y" xr:uid="{DBE18171-88CE-4975-A127-1042914909BF}"/>
    <hyperlink ref="P8:P9" r:id="rId13" display="https://pmc.ncbi.nlm.nih.gov/articles/PMC5502846/" xr:uid="{F00FB7EF-6119-4AB0-B61E-D09903370225}"/>
    <hyperlink ref="P10" r:id="rId14" display="https://pmc.ncbi.nlm.nih.gov/articles/PMC3091785/" xr:uid="{44EF9991-6AFF-4C17-A0A5-E31D63C1D07B}"/>
    <hyperlink ref="P12" r:id="rId15" display="https://www.sciencedirect.com/science/article/pii/S1874391918302744?via%3Dihub" xr:uid="{3E8306D2-E4D3-4CE1-AAD8-34180F2C90E3}"/>
    <hyperlink ref="Q12" r:id="rId16" display="https://pmc.ncbi.nlm.nih.gov/articles/PMC3885621/" xr:uid="{ABC373C9-FD9B-47D0-97A5-36A7481DB56D}"/>
    <hyperlink ref="P16" r:id="rId17" location="abstract2" display="https://pmc.ncbi.nlm.nih.gov/articles/PMC3570532/ - abstract2" xr:uid="{F7192AD4-BFD1-40B4-A6C8-2D80B1396A57}"/>
    <hyperlink ref="P17" r:id="rId18" display="https://pmc.ncbi.nlm.nih.gov/articles/PMC135346/" xr:uid="{FAAAF67F-5287-4EFD-AB60-FEA0E6FEE4DE}"/>
    <hyperlink ref="P18" r:id="rId19" display="https://pmc.ncbi.nlm.nih.gov/articles/PMC3347172/" xr:uid="{A5389AA3-C0B0-4077-B5EA-9E934297FF22}"/>
    <hyperlink ref="P20" r:id="rId20" display="https://www.sciencedirect.com/science/article/pii/S1472979210001113?via%3Dihub" xr:uid="{2FDC917F-033F-4FC2-AFB6-61CE96300445}"/>
    <hyperlink ref="Q21" r:id="rId21" display="https://pmc.ncbi.nlm.nih.gov/articles/PMC3367586/" xr:uid="{A845C2B2-B21F-43B2-BCCD-6288E7F1433A}"/>
    <hyperlink ref="P23" r:id="rId22" display="https://www.sciencedirect.com/science/article/abs/pii/S0928098717306449?via%3Dihub" xr:uid="{6ACE0FA4-3C7E-4DA3-8543-61AADEB8A7FC}"/>
    <hyperlink ref="P13" r:id="rId23" display="https://pmc.ncbi.nlm.nih.gov/articles/PMC3091785/" xr:uid="{C264CB5E-3CEB-4BB0-BC39-5D0DBB0FE4F5}"/>
    <hyperlink ref="Q27" r:id="rId24" display="https://pmc.ncbi.nlm.nih.gov/articles/PMC3282571/" xr:uid="{74D77C3E-4E9B-4BE0-911C-5E664DDC3B6D}"/>
    <hyperlink ref="Q2" r:id="rId25" location="Tab2" display="https://link.springer.com/article/10.1007/s11274-021-03164-6 - Tab2" xr:uid="{621EA2D3-D48E-4621-B909-9FFC95ADF064}"/>
    <hyperlink ref="P29" r:id="rId26" display="https://pmc.ncbi.nlm.nih.gov/articles/PMC7283319/" xr:uid="{5C6978D4-CE94-4331-AD36-24D92B6DD304}"/>
  </hyperlinks>
  <pageMargins left="0.7" right="0.7" top="0.75" bottom="0.75" header="0.3" footer="0.3"/>
  <tableParts count="1"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93CB-DC00-4A00-9A28-E6F7BEABA7F0}">
  <dimension ref="A1:AB31"/>
  <sheetViews>
    <sheetView topLeftCell="D1" zoomScale="89" workbookViewId="0">
      <selection activeCell="S3" sqref="S3"/>
    </sheetView>
  </sheetViews>
  <sheetFormatPr baseColWidth="10" defaultRowHeight="14.4" x14ac:dyDescent="0.3"/>
  <cols>
    <col min="1" max="1" width="35.5546875" customWidth="1"/>
    <col min="2" max="2" width="38.6640625" customWidth="1"/>
    <col min="4" max="10" width="11.33203125" customWidth="1"/>
    <col min="11" max="22" width="12.33203125" customWidth="1"/>
    <col min="24" max="24" width="11.5546875" customWidth="1"/>
  </cols>
  <sheetData>
    <row r="1" spans="1:28" ht="111" x14ac:dyDescent="0.3">
      <c r="A1" s="1" t="s">
        <v>0</v>
      </c>
      <c r="B1" s="2" t="s">
        <v>1</v>
      </c>
      <c r="C1" s="24" t="s">
        <v>308</v>
      </c>
      <c r="D1" s="32" t="s">
        <v>299</v>
      </c>
      <c r="E1" s="32" t="s">
        <v>288</v>
      </c>
      <c r="F1" s="32" t="s">
        <v>301</v>
      </c>
      <c r="G1" s="32" t="s">
        <v>290</v>
      </c>
      <c r="H1" s="37" t="s">
        <v>287</v>
      </c>
      <c r="I1" s="37" t="s">
        <v>307</v>
      </c>
      <c r="J1" s="37" t="s">
        <v>298</v>
      </c>
      <c r="K1" s="40" t="s">
        <v>305</v>
      </c>
      <c r="L1" s="40" t="s">
        <v>297</v>
      </c>
      <c r="M1" s="40" t="s">
        <v>295</v>
      </c>
      <c r="N1" s="40" t="s">
        <v>293</v>
      </c>
      <c r="O1" s="39" t="s">
        <v>306</v>
      </c>
      <c r="P1" s="43" t="s">
        <v>300</v>
      </c>
      <c r="Q1" s="43" t="s">
        <v>291</v>
      </c>
      <c r="R1" s="25" t="s">
        <v>304</v>
      </c>
      <c r="S1" s="25" t="s">
        <v>303</v>
      </c>
      <c r="T1" s="25" t="s">
        <v>302</v>
      </c>
      <c r="U1" s="25" t="s">
        <v>296</v>
      </c>
      <c r="V1" s="25" t="s">
        <v>294</v>
      </c>
      <c r="W1" s="25" t="s">
        <v>292</v>
      </c>
      <c r="X1" s="25" t="s">
        <v>289</v>
      </c>
      <c r="Y1" s="24" t="s">
        <v>286</v>
      </c>
    </row>
    <row r="2" spans="1:28" x14ac:dyDescent="0.3">
      <c r="A2" s="5" t="s">
        <v>25</v>
      </c>
      <c r="B2" s="5" t="s">
        <v>113</v>
      </c>
      <c r="C2" s="9">
        <v>6</v>
      </c>
      <c r="D2" s="45" t="s">
        <v>285</v>
      </c>
      <c r="E2" s="47" t="s">
        <v>285</v>
      </c>
      <c r="F2" s="47" t="s">
        <v>285</v>
      </c>
      <c r="G2" s="47" t="s">
        <v>285</v>
      </c>
      <c r="H2" s="47" t="s">
        <v>285</v>
      </c>
      <c r="I2" s="47" t="s">
        <v>285</v>
      </c>
      <c r="J2" s="47" t="s">
        <v>285</v>
      </c>
      <c r="K2" s="47" t="s">
        <v>285</v>
      </c>
      <c r="L2" s="47" t="s">
        <v>285</v>
      </c>
      <c r="M2" s="47" t="s">
        <v>285</v>
      </c>
      <c r="N2" s="47" t="s">
        <v>285</v>
      </c>
      <c r="O2" s="47" t="s">
        <v>285</v>
      </c>
      <c r="P2" s="47" t="s">
        <v>285</v>
      </c>
      <c r="Q2" s="47" t="s">
        <v>285</v>
      </c>
      <c r="R2" s="47" t="s">
        <v>285</v>
      </c>
      <c r="S2" s="47" t="s">
        <v>285</v>
      </c>
      <c r="T2" s="47" t="s">
        <v>285</v>
      </c>
      <c r="U2" s="47" t="s">
        <v>285</v>
      </c>
      <c r="V2" s="47" t="s">
        <v>285</v>
      </c>
      <c r="W2" s="47" t="s">
        <v>285</v>
      </c>
      <c r="X2" s="49" t="s">
        <v>285</v>
      </c>
      <c r="Y2" s="22">
        <f t="shared" ref="Y2:Y30" si="0">COUNTIF(B2:X2,"R")</f>
        <v>0</v>
      </c>
      <c r="AA2" s="33"/>
      <c r="AB2" t="s">
        <v>322</v>
      </c>
    </row>
    <row r="3" spans="1:28" x14ac:dyDescent="0.3">
      <c r="A3" s="4" t="s">
        <v>25</v>
      </c>
      <c r="B3" s="4" t="s">
        <v>36</v>
      </c>
      <c r="C3" s="8">
        <v>2</v>
      </c>
      <c r="D3" s="28" t="s">
        <v>284</v>
      </c>
      <c r="E3" s="8" t="s">
        <v>284</v>
      </c>
      <c r="F3" s="8" t="s">
        <v>284</v>
      </c>
      <c r="G3" s="8" t="s">
        <v>284</v>
      </c>
      <c r="H3" s="8" t="s">
        <v>284</v>
      </c>
      <c r="I3" s="8" t="s">
        <v>283</v>
      </c>
      <c r="J3" s="8" t="s">
        <v>283</v>
      </c>
      <c r="K3" s="8" t="s">
        <v>284</v>
      </c>
      <c r="L3" s="8" t="s">
        <v>284</v>
      </c>
      <c r="M3" s="8" t="s">
        <v>284</v>
      </c>
      <c r="N3" s="8" t="s">
        <v>284</v>
      </c>
      <c r="O3" s="8" t="s">
        <v>283</v>
      </c>
      <c r="P3" s="8" t="s">
        <v>284</v>
      </c>
      <c r="Q3" s="8" t="s">
        <v>284</v>
      </c>
      <c r="R3" s="8" t="s">
        <v>284</v>
      </c>
      <c r="S3" s="8" t="s">
        <v>284</v>
      </c>
      <c r="T3" s="8" t="s">
        <v>283</v>
      </c>
      <c r="U3" s="8" t="s">
        <v>283</v>
      </c>
      <c r="V3" s="8" t="s">
        <v>283</v>
      </c>
      <c r="W3" s="8" t="s">
        <v>283</v>
      </c>
      <c r="X3" s="29" t="s">
        <v>284</v>
      </c>
      <c r="Y3" s="22">
        <f t="shared" si="0"/>
        <v>14</v>
      </c>
      <c r="AA3" s="38"/>
      <c r="AB3" t="s">
        <v>339</v>
      </c>
    </row>
    <row r="4" spans="1:28" x14ac:dyDescent="0.3">
      <c r="A4" s="5" t="s">
        <v>25</v>
      </c>
      <c r="B4" s="5" t="s">
        <v>171</v>
      </c>
      <c r="C4" s="9">
        <v>2</v>
      </c>
      <c r="D4" s="26" t="s">
        <v>284</v>
      </c>
      <c r="E4" s="9" t="s">
        <v>284</v>
      </c>
      <c r="F4" s="9" t="s">
        <v>283</v>
      </c>
      <c r="G4" s="9" t="s">
        <v>283</v>
      </c>
      <c r="H4" s="9" t="s">
        <v>284</v>
      </c>
      <c r="I4" s="9" t="s">
        <v>283</v>
      </c>
      <c r="J4" s="9" t="s">
        <v>284</v>
      </c>
      <c r="K4" s="9" t="s">
        <v>283</v>
      </c>
      <c r="L4" s="9" t="s">
        <v>283</v>
      </c>
      <c r="M4" s="9" t="s">
        <v>283</v>
      </c>
      <c r="N4" s="9" t="s">
        <v>283</v>
      </c>
      <c r="O4" s="9" t="s">
        <v>283</v>
      </c>
      <c r="P4" s="9" t="s">
        <v>283</v>
      </c>
      <c r="Q4" s="9" t="s">
        <v>283</v>
      </c>
      <c r="R4" s="9" t="s">
        <v>284</v>
      </c>
      <c r="S4" s="9" t="s">
        <v>284</v>
      </c>
      <c r="T4" s="9" t="s">
        <v>284</v>
      </c>
      <c r="U4" s="9" t="s">
        <v>283</v>
      </c>
      <c r="V4" s="9" t="s">
        <v>283</v>
      </c>
      <c r="W4" s="9" t="s">
        <v>283</v>
      </c>
      <c r="X4" s="27" t="s">
        <v>283</v>
      </c>
      <c r="Y4" s="22">
        <f t="shared" si="0"/>
        <v>7</v>
      </c>
      <c r="AA4" s="41"/>
      <c r="AB4" t="s">
        <v>340</v>
      </c>
    </row>
    <row r="5" spans="1:28" x14ac:dyDescent="0.3">
      <c r="A5" s="4" t="s">
        <v>25</v>
      </c>
      <c r="B5" s="4" t="s">
        <v>170</v>
      </c>
      <c r="C5" s="8">
        <v>2</v>
      </c>
      <c r="D5" s="28" t="s">
        <v>283</v>
      </c>
      <c r="E5" s="8" t="s">
        <v>284</v>
      </c>
      <c r="F5" s="8" t="s">
        <v>283</v>
      </c>
      <c r="G5" s="8" t="s">
        <v>283</v>
      </c>
      <c r="H5" s="8" t="s">
        <v>284</v>
      </c>
      <c r="I5" s="8" t="s">
        <v>283</v>
      </c>
      <c r="J5" s="8" t="s">
        <v>283</v>
      </c>
      <c r="K5" s="8" t="s">
        <v>283</v>
      </c>
      <c r="L5" s="8" t="s">
        <v>283</v>
      </c>
      <c r="M5" s="8" t="s">
        <v>283</v>
      </c>
      <c r="N5" s="8" t="s">
        <v>283</v>
      </c>
      <c r="O5" s="8" t="s">
        <v>283</v>
      </c>
      <c r="P5" s="8" t="s">
        <v>283</v>
      </c>
      <c r="Q5" s="8" t="s">
        <v>283</v>
      </c>
      <c r="R5" s="8" t="s">
        <v>284</v>
      </c>
      <c r="S5" s="8" t="s">
        <v>284</v>
      </c>
      <c r="T5" s="8" t="s">
        <v>284</v>
      </c>
      <c r="U5" s="8" t="s">
        <v>283</v>
      </c>
      <c r="V5" s="8" t="s">
        <v>283</v>
      </c>
      <c r="W5" s="8" t="s">
        <v>283</v>
      </c>
      <c r="X5" s="29" t="s">
        <v>283</v>
      </c>
      <c r="Y5" s="22">
        <f t="shared" si="0"/>
        <v>5</v>
      </c>
      <c r="AA5" s="42"/>
      <c r="AB5" t="s">
        <v>341</v>
      </c>
    </row>
    <row r="6" spans="1:28" x14ac:dyDescent="0.3">
      <c r="A6" s="4" t="s">
        <v>25</v>
      </c>
      <c r="B6" s="4" t="s">
        <v>72</v>
      </c>
      <c r="C6" s="8">
        <v>2</v>
      </c>
      <c r="D6" s="28" t="s">
        <v>284</v>
      </c>
      <c r="E6" s="8" t="s">
        <v>284</v>
      </c>
      <c r="F6" s="8" t="s">
        <v>284</v>
      </c>
      <c r="G6" s="8" t="s">
        <v>284</v>
      </c>
      <c r="H6" s="8" t="s">
        <v>284</v>
      </c>
      <c r="I6" s="8" t="s">
        <v>284</v>
      </c>
      <c r="J6" s="8" t="s">
        <v>284</v>
      </c>
      <c r="K6" s="8" t="s">
        <v>284</v>
      </c>
      <c r="L6" s="8" t="s">
        <v>284</v>
      </c>
      <c r="M6" s="8" t="s">
        <v>284</v>
      </c>
      <c r="N6" s="8" t="s">
        <v>284</v>
      </c>
      <c r="O6" s="8" t="s">
        <v>284</v>
      </c>
      <c r="P6" s="8" t="s">
        <v>284</v>
      </c>
      <c r="Q6" s="8" t="s">
        <v>283</v>
      </c>
      <c r="R6" s="8" t="s">
        <v>283</v>
      </c>
      <c r="S6" s="8" t="s">
        <v>284</v>
      </c>
      <c r="T6" s="8" t="s">
        <v>283</v>
      </c>
      <c r="U6" s="8" t="s">
        <v>283</v>
      </c>
      <c r="V6" s="8" t="s">
        <v>284</v>
      </c>
      <c r="W6" s="8" t="s">
        <v>283</v>
      </c>
      <c r="X6" s="29" t="s">
        <v>283</v>
      </c>
      <c r="Y6" s="22">
        <f t="shared" si="0"/>
        <v>15</v>
      </c>
      <c r="AA6" s="44"/>
      <c r="AB6" t="s">
        <v>342</v>
      </c>
    </row>
    <row r="7" spans="1:28" x14ac:dyDescent="0.3">
      <c r="A7" s="4" t="s">
        <v>25</v>
      </c>
      <c r="B7" s="4" t="s">
        <v>236</v>
      </c>
      <c r="C7" s="8">
        <v>2</v>
      </c>
      <c r="D7" s="28" t="s">
        <v>284</v>
      </c>
      <c r="E7" s="8" t="s">
        <v>284</v>
      </c>
      <c r="F7" s="8" t="s">
        <v>284</v>
      </c>
      <c r="G7" s="8" t="s">
        <v>284</v>
      </c>
      <c r="H7" s="8" t="s">
        <v>284</v>
      </c>
      <c r="I7" s="8" t="s">
        <v>283</v>
      </c>
      <c r="J7" s="8" t="s">
        <v>284</v>
      </c>
      <c r="K7" s="8" t="s">
        <v>284</v>
      </c>
      <c r="L7" s="8" t="s">
        <v>284</v>
      </c>
      <c r="M7" s="8" t="s">
        <v>284</v>
      </c>
      <c r="N7" s="8" t="s">
        <v>284</v>
      </c>
      <c r="O7" s="8" t="s">
        <v>283</v>
      </c>
      <c r="P7" s="8" t="s">
        <v>283</v>
      </c>
      <c r="Q7" s="8" t="s">
        <v>283</v>
      </c>
      <c r="R7" s="8" t="s">
        <v>283</v>
      </c>
      <c r="S7" s="8" t="s">
        <v>284</v>
      </c>
      <c r="T7" s="8" t="s">
        <v>283</v>
      </c>
      <c r="U7" s="8" t="s">
        <v>283</v>
      </c>
      <c r="V7" s="8" t="s">
        <v>283</v>
      </c>
      <c r="W7" s="8" t="s">
        <v>283</v>
      </c>
      <c r="X7" s="29" t="s">
        <v>284</v>
      </c>
      <c r="Y7" s="22">
        <f t="shared" si="0"/>
        <v>12</v>
      </c>
      <c r="AA7" s="36"/>
      <c r="AB7" t="s">
        <v>343</v>
      </c>
    </row>
    <row r="8" spans="1:28" x14ac:dyDescent="0.3">
      <c r="A8" s="5" t="s">
        <v>25</v>
      </c>
      <c r="B8" s="5" t="s">
        <v>227</v>
      </c>
      <c r="C8" s="9">
        <v>2</v>
      </c>
      <c r="D8" s="26" t="s">
        <v>283</v>
      </c>
      <c r="E8" s="9" t="s">
        <v>283</v>
      </c>
      <c r="F8" s="9" t="s">
        <v>283</v>
      </c>
      <c r="G8" s="9" t="s">
        <v>283</v>
      </c>
      <c r="H8" s="9" t="s">
        <v>283</v>
      </c>
      <c r="I8" s="9" t="s">
        <v>283</v>
      </c>
      <c r="J8" s="9" t="s">
        <v>283</v>
      </c>
      <c r="K8" s="9" t="s">
        <v>283</v>
      </c>
      <c r="L8" s="9" t="s">
        <v>283</v>
      </c>
      <c r="M8" s="9" t="s">
        <v>283</v>
      </c>
      <c r="N8" s="9" t="s">
        <v>283</v>
      </c>
      <c r="O8" s="9" t="s">
        <v>283</v>
      </c>
      <c r="P8" s="9" t="s">
        <v>283</v>
      </c>
      <c r="Q8" s="9" t="s">
        <v>283</v>
      </c>
      <c r="R8" s="9" t="s">
        <v>283</v>
      </c>
      <c r="S8" s="9" t="s">
        <v>284</v>
      </c>
      <c r="T8" s="9" t="s">
        <v>284</v>
      </c>
      <c r="U8" s="9" t="s">
        <v>283</v>
      </c>
      <c r="V8" s="9" t="s">
        <v>283</v>
      </c>
      <c r="W8" s="9" t="s">
        <v>283</v>
      </c>
      <c r="X8" s="27" t="s">
        <v>283</v>
      </c>
      <c r="Y8" s="22">
        <f t="shared" si="0"/>
        <v>2</v>
      </c>
    </row>
    <row r="9" spans="1:28" x14ac:dyDescent="0.3">
      <c r="A9" s="5" t="s">
        <v>25</v>
      </c>
      <c r="B9" s="5" t="s">
        <v>197</v>
      </c>
      <c r="C9" s="9">
        <v>9</v>
      </c>
      <c r="D9" s="26" t="s">
        <v>284</v>
      </c>
      <c r="E9" s="9" t="s">
        <v>283</v>
      </c>
      <c r="F9" s="9" t="s">
        <v>284</v>
      </c>
      <c r="G9" s="9" t="s">
        <v>283</v>
      </c>
      <c r="H9" s="9" t="s">
        <v>283</v>
      </c>
      <c r="I9" s="9" t="s">
        <v>283</v>
      </c>
      <c r="J9" s="9" t="s">
        <v>284</v>
      </c>
      <c r="K9" s="9" t="s">
        <v>284</v>
      </c>
      <c r="L9" s="9" t="s">
        <v>283</v>
      </c>
      <c r="M9" s="9" t="s">
        <v>283</v>
      </c>
      <c r="N9" s="9" t="s">
        <v>284</v>
      </c>
      <c r="O9" s="9" t="s">
        <v>284</v>
      </c>
      <c r="P9" s="9" t="s">
        <v>283</v>
      </c>
      <c r="Q9" s="9" t="s">
        <v>284</v>
      </c>
      <c r="R9" s="9" t="s">
        <v>284</v>
      </c>
      <c r="S9" s="9" t="s">
        <v>283</v>
      </c>
      <c r="T9" s="9" t="s">
        <v>283</v>
      </c>
      <c r="U9" s="9" t="s">
        <v>283</v>
      </c>
      <c r="V9" s="9" t="s">
        <v>284</v>
      </c>
      <c r="W9" s="9" t="s">
        <v>284</v>
      </c>
      <c r="X9" s="27" t="s">
        <v>283</v>
      </c>
      <c r="Y9" s="22">
        <f t="shared" si="0"/>
        <v>10</v>
      </c>
    </row>
    <row r="10" spans="1:28" x14ac:dyDescent="0.3">
      <c r="A10" s="4" t="s">
        <v>25</v>
      </c>
      <c r="B10" s="4" t="s">
        <v>172</v>
      </c>
      <c r="C10" s="8">
        <v>2</v>
      </c>
      <c r="D10" s="28" t="s">
        <v>284</v>
      </c>
      <c r="E10" s="8" t="s">
        <v>284</v>
      </c>
      <c r="F10" s="8" t="s">
        <v>284</v>
      </c>
      <c r="G10" s="8" t="s">
        <v>284</v>
      </c>
      <c r="H10" s="8" t="s">
        <v>284</v>
      </c>
      <c r="I10" s="8" t="s">
        <v>284</v>
      </c>
      <c r="J10" s="8" t="s">
        <v>284</v>
      </c>
      <c r="K10" s="8" t="s">
        <v>283</v>
      </c>
      <c r="L10" s="8" t="s">
        <v>283</v>
      </c>
      <c r="M10" s="8" t="s">
        <v>283</v>
      </c>
      <c r="N10" s="8" t="s">
        <v>283</v>
      </c>
      <c r="O10" s="8" t="s">
        <v>284</v>
      </c>
      <c r="P10" s="8" t="s">
        <v>283</v>
      </c>
      <c r="Q10" s="8" t="s">
        <v>283</v>
      </c>
      <c r="R10" s="8" t="s">
        <v>283</v>
      </c>
      <c r="S10" s="8" t="s">
        <v>283</v>
      </c>
      <c r="T10" s="8" t="s">
        <v>283</v>
      </c>
      <c r="U10" s="8" t="s">
        <v>283</v>
      </c>
      <c r="V10" s="8" t="s">
        <v>283</v>
      </c>
      <c r="W10" s="8" t="s">
        <v>283</v>
      </c>
      <c r="X10" s="29" t="s">
        <v>284</v>
      </c>
      <c r="Y10" s="22">
        <f t="shared" si="0"/>
        <v>9</v>
      </c>
    </row>
    <row r="11" spans="1:28" x14ac:dyDescent="0.3">
      <c r="A11" s="4" t="s">
        <v>25</v>
      </c>
      <c r="B11" s="4" t="s">
        <v>214</v>
      </c>
      <c r="C11" s="8">
        <v>3</v>
      </c>
      <c r="D11" s="28" t="s">
        <v>284</v>
      </c>
      <c r="E11" s="8" t="s">
        <v>284</v>
      </c>
      <c r="F11" s="8" t="s">
        <v>284</v>
      </c>
      <c r="G11" s="8" t="s">
        <v>284</v>
      </c>
      <c r="H11" s="8" t="s">
        <v>284</v>
      </c>
      <c r="I11" s="8" t="s">
        <v>283</v>
      </c>
      <c r="J11" s="8" t="s">
        <v>283</v>
      </c>
      <c r="K11" s="8" t="s">
        <v>284</v>
      </c>
      <c r="L11" s="8" t="s">
        <v>284</v>
      </c>
      <c r="M11" s="8" t="s">
        <v>284</v>
      </c>
      <c r="N11" s="8" t="s">
        <v>284</v>
      </c>
      <c r="O11" s="8" t="s">
        <v>283</v>
      </c>
      <c r="P11" s="8" t="s">
        <v>283</v>
      </c>
      <c r="Q11" s="8" t="s">
        <v>283</v>
      </c>
      <c r="R11" s="8" t="s">
        <v>283</v>
      </c>
      <c r="S11" s="8" t="s">
        <v>283</v>
      </c>
      <c r="T11" s="8" t="s">
        <v>284</v>
      </c>
      <c r="U11" s="8" t="s">
        <v>283</v>
      </c>
      <c r="V11" s="8" t="s">
        <v>284</v>
      </c>
      <c r="W11" s="8" t="s">
        <v>283</v>
      </c>
      <c r="X11" s="29" t="s">
        <v>284</v>
      </c>
      <c r="Y11" s="22">
        <f t="shared" si="0"/>
        <v>12</v>
      </c>
    </row>
    <row r="12" spans="1:28" x14ac:dyDescent="0.3">
      <c r="A12" s="5" t="s">
        <v>25</v>
      </c>
      <c r="B12" s="5" t="s">
        <v>28</v>
      </c>
      <c r="C12" s="9">
        <v>4</v>
      </c>
      <c r="D12" s="26" t="s">
        <v>284</v>
      </c>
      <c r="E12" s="9" t="s">
        <v>284</v>
      </c>
      <c r="F12" s="9" t="s">
        <v>284</v>
      </c>
      <c r="G12" s="9" t="s">
        <v>284</v>
      </c>
      <c r="H12" s="9" t="s">
        <v>284</v>
      </c>
      <c r="I12" s="9" t="s">
        <v>283</v>
      </c>
      <c r="J12" s="9" t="s">
        <v>283</v>
      </c>
      <c r="K12" s="9" t="s">
        <v>283</v>
      </c>
      <c r="L12" s="9" t="s">
        <v>283</v>
      </c>
      <c r="M12" s="9" t="s">
        <v>283</v>
      </c>
      <c r="N12" s="9" t="s">
        <v>283</v>
      </c>
      <c r="O12" s="9" t="s">
        <v>283</v>
      </c>
      <c r="P12" s="9" t="s">
        <v>283</v>
      </c>
      <c r="Q12" s="9" t="s">
        <v>284</v>
      </c>
      <c r="R12" s="9" t="s">
        <v>283</v>
      </c>
      <c r="S12" s="9" t="s">
        <v>283</v>
      </c>
      <c r="T12" s="9" t="s">
        <v>284</v>
      </c>
      <c r="U12" s="9" t="s">
        <v>283</v>
      </c>
      <c r="V12" s="9" t="s">
        <v>283</v>
      </c>
      <c r="W12" s="9" t="s">
        <v>283</v>
      </c>
      <c r="X12" s="27" t="s">
        <v>284</v>
      </c>
      <c r="Y12" s="22">
        <f t="shared" si="0"/>
        <v>8</v>
      </c>
    </row>
    <row r="13" spans="1:28" x14ac:dyDescent="0.3">
      <c r="A13" s="4" t="s">
        <v>25</v>
      </c>
      <c r="B13" s="4" t="s">
        <v>52</v>
      </c>
      <c r="C13" s="8">
        <v>4</v>
      </c>
      <c r="D13" s="28" t="s">
        <v>284</v>
      </c>
      <c r="E13" s="8" t="s">
        <v>284</v>
      </c>
      <c r="F13" s="8" t="s">
        <v>284</v>
      </c>
      <c r="G13" s="8" t="s">
        <v>284</v>
      </c>
      <c r="H13" s="8" t="s">
        <v>284</v>
      </c>
      <c r="I13" s="8" t="s">
        <v>283</v>
      </c>
      <c r="J13" s="8" t="s">
        <v>283</v>
      </c>
      <c r="K13" s="8" t="s">
        <v>283</v>
      </c>
      <c r="L13" s="8" t="s">
        <v>284</v>
      </c>
      <c r="M13" s="8" t="s">
        <v>283</v>
      </c>
      <c r="N13" s="8" t="s">
        <v>283</v>
      </c>
      <c r="O13" s="8" t="s">
        <v>283</v>
      </c>
      <c r="P13" s="8" t="s">
        <v>284</v>
      </c>
      <c r="Q13" s="8" t="s">
        <v>284</v>
      </c>
      <c r="R13" s="8" t="s">
        <v>283</v>
      </c>
      <c r="S13" s="8" t="s">
        <v>283</v>
      </c>
      <c r="T13" s="8" t="s">
        <v>284</v>
      </c>
      <c r="U13" s="8" t="s">
        <v>283</v>
      </c>
      <c r="V13" s="8" t="s">
        <v>283</v>
      </c>
      <c r="W13" s="8" t="s">
        <v>283</v>
      </c>
      <c r="X13" s="29" t="s">
        <v>283</v>
      </c>
      <c r="Y13" s="22">
        <f t="shared" si="0"/>
        <v>9</v>
      </c>
    </row>
    <row r="14" spans="1:28" x14ac:dyDescent="0.3">
      <c r="A14" s="5" t="s">
        <v>25</v>
      </c>
      <c r="B14" s="5" t="s">
        <v>59</v>
      </c>
      <c r="C14" s="9">
        <v>4</v>
      </c>
      <c r="D14" s="26" t="s">
        <v>284</v>
      </c>
      <c r="E14" s="9" t="s">
        <v>284</v>
      </c>
      <c r="F14" s="9" t="s">
        <v>284</v>
      </c>
      <c r="G14" s="9" t="s">
        <v>284</v>
      </c>
      <c r="H14" s="9" t="s">
        <v>284</v>
      </c>
      <c r="I14" s="9" t="s">
        <v>284</v>
      </c>
      <c r="J14" s="9" t="s">
        <v>284</v>
      </c>
      <c r="K14" s="9" t="s">
        <v>284</v>
      </c>
      <c r="L14" s="9" t="s">
        <v>284</v>
      </c>
      <c r="M14" s="9" t="s">
        <v>284</v>
      </c>
      <c r="N14" s="9" t="s">
        <v>284</v>
      </c>
      <c r="O14" s="9" t="s">
        <v>284</v>
      </c>
      <c r="P14" s="9" t="s">
        <v>284</v>
      </c>
      <c r="Q14" s="9" t="s">
        <v>283</v>
      </c>
      <c r="R14" s="9" t="s">
        <v>283</v>
      </c>
      <c r="S14" s="9" t="s">
        <v>283</v>
      </c>
      <c r="T14" s="9" t="s">
        <v>283</v>
      </c>
      <c r="U14" s="9" t="s">
        <v>283</v>
      </c>
      <c r="V14" s="9" t="s">
        <v>284</v>
      </c>
      <c r="W14" s="9" t="s">
        <v>283</v>
      </c>
      <c r="X14" s="27" t="s">
        <v>283</v>
      </c>
      <c r="Y14" s="22">
        <f t="shared" si="0"/>
        <v>14</v>
      </c>
    </row>
    <row r="15" spans="1:28" x14ac:dyDescent="0.3">
      <c r="A15" s="5" t="s">
        <v>25</v>
      </c>
      <c r="B15" s="5" t="s">
        <v>259</v>
      </c>
      <c r="C15" s="9">
        <v>4</v>
      </c>
      <c r="D15" s="26" t="s">
        <v>284</v>
      </c>
      <c r="E15" s="9" t="s">
        <v>284</v>
      </c>
      <c r="F15" s="9" t="s">
        <v>284</v>
      </c>
      <c r="G15" s="9" t="s">
        <v>284</v>
      </c>
      <c r="H15" s="9" t="s">
        <v>284</v>
      </c>
      <c r="I15" s="9" t="s">
        <v>283</v>
      </c>
      <c r="J15" s="9" t="s">
        <v>283</v>
      </c>
      <c r="K15" s="9" t="s">
        <v>283</v>
      </c>
      <c r="L15" s="9" t="s">
        <v>283</v>
      </c>
      <c r="M15" s="9" t="s">
        <v>283</v>
      </c>
      <c r="N15" s="9" t="s">
        <v>283</v>
      </c>
      <c r="O15" s="9" t="s">
        <v>283</v>
      </c>
      <c r="P15" s="9" t="s">
        <v>283</v>
      </c>
      <c r="Q15" s="9" t="s">
        <v>284</v>
      </c>
      <c r="R15" s="9" t="s">
        <v>283</v>
      </c>
      <c r="S15" s="9" t="s">
        <v>283</v>
      </c>
      <c r="T15" s="9" t="s">
        <v>284</v>
      </c>
      <c r="U15" s="9" t="s">
        <v>283</v>
      </c>
      <c r="V15" s="9" t="s">
        <v>283</v>
      </c>
      <c r="W15" s="9" t="s">
        <v>283</v>
      </c>
      <c r="X15" s="27" t="s">
        <v>284</v>
      </c>
      <c r="Y15" s="22">
        <f t="shared" si="0"/>
        <v>8</v>
      </c>
    </row>
    <row r="16" spans="1:28" x14ac:dyDescent="0.3">
      <c r="A16" s="4" t="s">
        <v>25</v>
      </c>
      <c r="B16" s="4" t="s">
        <v>260</v>
      </c>
      <c r="C16" s="8">
        <v>4</v>
      </c>
      <c r="D16" s="28" t="s">
        <v>284</v>
      </c>
      <c r="E16" s="8" t="s">
        <v>284</v>
      </c>
      <c r="F16" s="8" t="s">
        <v>284</v>
      </c>
      <c r="G16" s="8" t="s">
        <v>284</v>
      </c>
      <c r="H16" s="8" t="s">
        <v>284</v>
      </c>
      <c r="I16" s="8" t="s">
        <v>283</v>
      </c>
      <c r="J16" s="8" t="s">
        <v>283</v>
      </c>
      <c r="K16" s="8" t="s">
        <v>283</v>
      </c>
      <c r="L16" s="8" t="s">
        <v>283</v>
      </c>
      <c r="M16" s="8" t="s">
        <v>283</v>
      </c>
      <c r="N16" s="8" t="s">
        <v>283</v>
      </c>
      <c r="O16" s="8" t="s">
        <v>283</v>
      </c>
      <c r="P16" s="8" t="s">
        <v>283</v>
      </c>
      <c r="Q16" s="8" t="s">
        <v>284</v>
      </c>
      <c r="R16" s="8" t="s">
        <v>283</v>
      </c>
      <c r="S16" s="8" t="s">
        <v>283</v>
      </c>
      <c r="T16" s="8" t="s">
        <v>283</v>
      </c>
      <c r="U16" s="8" t="s">
        <v>283</v>
      </c>
      <c r="V16" s="8" t="s">
        <v>283</v>
      </c>
      <c r="W16" s="8" t="s">
        <v>283</v>
      </c>
      <c r="X16" s="29" t="s">
        <v>284</v>
      </c>
      <c r="Y16" s="22">
        <f t="shared" si="0"/>
        <v>7</v>
      </c>
    </row>
    <row r="17" spans="1:25" x14ac:dyDescent="0.3">
      <c r="A17" s="5" t="s">
        <v>25</v>
      </c>
      <c r="B17" s="5" t="s">
        <v>125</v>
      </c>
      <c r="C17" s="9">
        <v>8</v>
      </c>
      <c r="D17" s="26" t="s">
        <v>284</v>
      </c>
      <c r="E17" s="9" t="s">
        <v>284</v>
      </c>
      <c r="F17" s="9" t="s">
        <v>283</v>
      </c>
      <c r="G17" s="9" t="s">
        <v>284</v>
      </c>
      <c r="H17" s="9" t="s">
        <v>283</v>
      </c>
      <c r="I17" s="9" t="s">
        <v>283</v>
      </c>
      <c r="J17" s="9" t="s">
        <v>283</v>
      </c>
      <c r="K17" s="9" t="s">
        <v>283</v>
      </c>
      <c r="L17" s="9" t="s">
        <v>283</v>
      </c>
      <c r="M17" s="9" t="s">
        <v>283</v>
      </c>
      <c r="N17" s="9" t="s">
        <v>283</v>
      </c>
      <c r="O17" s="9" t="s">
        <v>283</v>
      </c>
      <c r="P17" s="9" t="s">
        <v>283</v>
      </c>
      <c r="Q17" s="9" t="s">
        <v>283</v>
      </c>
      <c r="R17" s="9" t="s">
        <v>283</v>
      </c>
      <c r="S17" s="9" t="s">
        <v>283</v>
      </c>
      <c r="T17" s="9" t="s">
        <v>283</v>
      </c>
      <c r="U17" s="9" t="s">
        <v>283</v>
      </c>
      <c r="V17" s="9" t="s">
        <v>283</v>
      </c>
      <c r="W17" s="9" t="s">
        <v>283</v>
      </c>
      <c r="X17" s="27" t="s">
        <v>283</v>
      </c>
      <c r="Y17" s="22">
        <f t="shared" si="0"/>
        <v>3</v>
      </c>
    </row>
    <row r="18" spans="1:25" x14ac:dyDescent="0.3">
      <c r="A18" s="4" t="s">
        <v>25</v>
      </c>
      <c r="B18" s="4" t="s">
        <v>91</v>
      </c>
      <c r="C18" s="8">
        <v>1</v>
      </c>
      <c r="D18" s="28" t="s">
        <v>283</v>
      </c>
      <c r="E18" s="8" t="s">
        <v>283</v>
      </c>
      <c r="F18" s="8" t="s">
        <v>283</v>
      </c>
      <c r="G18" s="8" t="s">
        <v>283</v>
      </c>
      <c r="H18" s="8" t="s">
        <v>283</v>
      </c>
      <c r="I18" s="8" t="s">
        <v>283</v>
      </c>
      <c r="J18" s="8" t="s">
        <v>283</v>
      </c>
      <c r="K18" s="8" t="s">
        <v>283</v>
      </c>
      <c r="L18" s="8" t="s">
        <v>283</v>
      </c>
      <c r="M18" s="8" t="s">
        <v>283</v>
      </c>
      <c r="N18" s="8" t="s">
        <v>283</v>
      </c>
      <c r="O18" s="8" t="s">
        <v>283</v>
      </c>
      <c r="P18" s="8" t="s">
        <v>283</v>
      </c>
      <c r="Q18" s="8" t="s">
        <v>284</v>
      </c>
      <c r="R18" s="8" t="s">
        <v>283</v>
      </c>
      <c r="S18" s="8" t="s">
        <v>283</v>
      </c>
      <c r="T18" s="8" t="s">
        <v>284</v>
      </c>
      <c r="U18" s="8" t="s">
        <v>283</v>
      </c>
      <c r="V18" s="8" t="s">
        <v>283</v>
      </c>
      <c r="W18" s="8" t="s">
        <v>283</v>
      </c>
      <c r="X18" s="29" t="s">
        <v>283</v>
      </c>
      <c r="Y18" s="22">
        <f t="shared" si="0"/>
        <v>2</v>
      </c>
    </row>
    <row r="19" spans="1:25" x14ac:dyDescent="0.3">
      <c r="A19" s="5" t="s">
        <v>25</v>
      </c>
      <c r="B19" s="23" t="s">
        <v>154</v>
      </c>
      <c r="C19" s="9">
        <v>1</v>
      </c>
      <c r="D19" s="26" t="s">
        <v>283</v>
      </c>
      <c r="E19" s="9" t="s">
        <v>283</v>
      </c>
      <c r="F19" s="9" t="s">
        <v>283</v>
      </c>
      <c r="G19" s="9" t="s">
        <v>283</v>
      </c>
      <c r="H19" s="9" t="s">
        <v>283</v>
      </c>
      <c r="I19" s="9" t="s">
        <v>283</v>
      </c>
      <c r="J19" s="9" t="s">
        <v>283</v>
      </c>
      <c r="K19" s="9" t="s">
        <v>283</v>
      </c>
      <c r="L19" s="9" t="s">
        <v>283</v>
      </c>
      <c r="M19" s="9" t="s">
        <v>283</v>
      </c>
      <c r="N19" s="9" t="s">
        <v>283</v>
      </c>
      <c r="O19" s="9" t="s">
        <v>283</v>
      </c>
      <c r="P19" s="9" t="s">
        <v>283</v>
      </c>
      <c r="Q19" s="9" t="s">
        <v>283</v>
      </c>
      <c r="R19" s="9" t="s">
        <v>283</v>
      </c>
      <c r="S19" s="9" t="s">
        <v>283</v>
      </c>
      <c r="T19" s="9" t="s">
        <v>284</v>
      </c>
      <c r="U19" s="9" t="s">
        <v>283</v>
      </c>
      <c r="V19" s="9" t="s">
        <v>283</v>
      </c>
      <c r="W19" s="9" t="s">
        <v>283</v>
      </c>
      <c r="X19" s="27" t="s">
        <v>283</v>
      </c>
      <c r="Y19" s="22">
        <f t="shared" si="0"/>
        <v>1</v>
      </c>
    </row>
    <row r="20" spans="1:25" x14ac:dyDescent="0.3">
      <c r="A20" s="4" t="s">
        <v>25</v>
      </c>
      <c r="B20" s="4" t="s">
        <v>155</v>
      </c>
      <c r="C20" s="8">
        <v>1</v>
      </c>
      <c r="D20" s="28" t="s">
        <v>283</v>
      </c>
      <c r="E20" s="8" t="s">
        <v>283</v>
      </c>
      <c r="F20" s="8" t="s">
        <v>283</v>
      </c>
      <c r="G20" s="8" t="s">
        <v>283</v>
      </c>
      <c r="H20" s="8" t="s">
        <v>283</v>
      </c>
      <c r="I20" s="8" t="s">
        <v>283</v>
      </c>
      <c r="J20" s="8" t="s">
        <v>283</v>
      </c>
      <c r="K20" s="8" t="s">
        <v>283</v>
      </c>
      <c r="L20" s="8" t="s">
        <v>283</v>
      </c>
      <c r="M20" s="8" t="s">
        <v>283</v>
      </c>
      <c r="N20" s="8" t="s">
        <v>283</v>
      </c>
      <c r="O20" s="8" t="s">
        <v>283</v>
      </c>
      <c r="P20" s="8" t="s">
        <v>283</v>
      </c>
      <c r="Q20" s="8" t="s">
        <v>283</v>
      </c>
      <c r="R20" s="8" t="s">
        <v>283</v>
      </c>
      <c r="S20" s="8" t="s">
        <v>283</v>
      </c>
      <c r="T20" s="8" t="s">
        <v>284</v>
      </c>
      <c r="U20" s="8" t="s">
        <v>283</v>
      </c>
      <c r="V20" s="8" t="s">
        <v>283</v>
      </c>
      <c r="W20" s="8" t="s">
        <v>283</v>
      </c>
      <c r="X20" s="29" t="s">
        <v>283</v>
      </c>
      <c r="Y20" s="22">
        <f t="shared" si="0"/>
        <v>1</v>
      </c>
    </row>
    <row r="21" spans="1:25" x14ac:dyDescent="0.3">
      <c r="A21" s="5" t="s">
        <v>25</v>
      </c>
      <c r="B21" s="5" t="s">
        <v>110</v>
      </c>
      <c r="C21" s="9">
        <v>2</v>
      </c>
      <c r="D21" s="26" t="s">
        <v>283</v>
      </c>
      <c r="E21" s="9" t="s">
        <v>283</v>
      </c>
      <c r="F21" s="9" t="s">
        <v>283</v>
      </c>
      <c r="G21" s="9" t="s">
        <v>283</v>
      </c>
      <c r="H21" s="9" t="s">
        <v>283</v>
      </c>
      <c r="I21" s="9" t="s">
        <v>283</v>
      </c>
      <c r="J21" s="9" t="s">
        <v>283</v>
      </c>
      <c r="K21" s="9" t="s">
        <v>283</v>
      </c>
      <c r="L21" s="9" t="s">
        <v>283</v>
      </c>
      <c r="M21" s="9" t="s">
        <v>283</v>
      </c>
      <c r="N21" s="9" t="s">
        <v>283</v>
      </c>
      <c r="O21" s="9" t="s">
        <v>283</v>
      </c>
      <c r="P21" s="9" t="s">
        <v>283</v>
      </c>
      <c r="Q21" s="9" t="s">
        <v>283</v>
      </c>
      <c r="R21" s="9" t="s">
        <v>283</v>
      </c>
      <c r="S21" s="9" t="s">
        <v>283</v>
      </c>
      <c r="T21" s="9" t="s">
        <v>283</v>
      </c>
      <c r="U21" s="9" t="s">
        <v>283</v>
      </c>
      <c r="V21" s="9" t="s">
        <v>283</v>
      </c>
      <c r="W21" s="9" t="s">
        <v>283</v>
      </c>
      <c r="X21" s="27" t="s">
        <v>283</v>
      </c>
      <c r="Y21" s="22">
        <f t="shared" si="0"/>
        <v>0</v>
      </c>
    </row>
    <row r="22" spans="1:25" x14ac:dyDescent="0.3">
      <c r="A22" s="5" t="s">
        <v>25</v>
      </c>
      <c r="B22" s="5" t="s">
        <v>35</v>
      </c>
      <c r="C22" s="9">
        <v>2</v>
      </c>
      <c r="D22" s="26" t="s">
        <v>283</v>
      </c>
      <c r="E22" s="9" t="s">
        <v>283</v>
      </c>
      <c r="F22" s="9" t="s">
        <v>283</v>
      </c>
      <c r="G22" s="9" t="s">
        <v>283</v>
      </c>
      <c r="H22" s="9" t="s">
        <v>283</v>
      </c>
      <c r="I22" s="9" t="s">
        <v>283</v>
      </c>
      <c r="J22" s="9" t="s">
        <v>283</v>
      </c>
      <c r="K22" s="9" t="s">
        <v>283</v>
      </c>
      <c r="L22" s="9" t="s">
        <v>283</v>
      </c>
      <c r="M22" s="9" t="s">
        <v>283</v>
      </c>
      <c r="N22" s="9" t="s">
        <v>283</v>
      </c>
      <c r="O22" s="9" t="s">
        <v>283</v>
      </c>
      <c r="P22" s="9" t="s">
        <v>283</v>
      </c>
      <c r="Q22" s="9" t="s">
        <v>283</v>
      </c>
      <c r="R22" s="9" t="s">
        <v>283</v>
      </c>
      <c r="S22" s="9" t="s">
        <v>283</v>
      </c>
      <c r="T22" s="9" t="s">
        <v>284</v>
      </c>
      <c r="U22" s="9" t="s">
        <v>283</v>
      </c>
      <c r="V22" s="9" t="s">
        <v>283</v>
      </c>
      <c r="W22" s="9" t="s">
        <v>283</v>
      </c>
      <c r="X22" s="27" t="s">
        <v>283</v>
      </c>
      <c r="Y22" s="22">
        <f t="shared" si="0"/>
        <v>1</v>
      </c>
    </row>
    <row r="23" spans="1:25" x14ac:dyDescent="0.3">
      <c r="A23" s="5" t="s">
        <v>25</v>
      </c>
      <c r="B23" s="5" t="s">
        <v>145</v>
      </c>
      <c r="C23" s="9">
        <v>3</v>
      </c>
      <c r="D23" s="26" t="s">
        <v>283</v>
      </c>
      <c r="E23" s="9" t="s">
        <v>283</v>
      </c>
      <c r="F23" s="9" t="s">
        <v>283</v>
      </c>
      <c r="G23" s="9" t="s">
        <v>283</v>
      </c>
      <c r="H23" s="9" t="s">
        <v>283</v>
      </c>
      <c r="I23" s="9" t="s">
        <v>283</v>
      </c>
      <c r="J23" s="9" t="s">
        <v>283</v>
      </c>
      <c r="K23" s="9" t="s">
        <v>283</v>
      </c>
      <c r="L23" s="9" t="s">
        <v>283</v>
      </c>
      <c r="M23" s="9" t="s">
        <v>283</v>
      </c>
      <c r="N23" s="9" t="s">
        <v>283</v>
      </c>
      <c r="O23" s="9" t="s">
        <v>283</v>
      </c>
      <c r="P23" s="9" t="s">
        <v>283</v>
      </c>
      <c r="Q23" s="9" t="s">
        <v>283</v>
      </c>
      <c r="R23" s="9" t="s">
        <v>283</v>
      </c>
      <c r="S23" s="9" t="s">
        <v>283</v>
      </c>
      <c r="T23" s="9" t="s">
        <v>284</v>
      </c>
      <c r="U23" s="9" t="s">
        <v>283</v>
      </c>
      <c r="V23" s="9" t="s">
        <v>283</v>
      </c>
      <c r="W23" s="9" t="s">
        <v>283</v>
      </c>
      <c r="X23" s="27" t="s">
        <v>283</v>
      </c>
      <c r="Y23" s="22">
        <f t="shared" si="0"/>
        <v>1</v>
      </c>
    </row>
    <row r="24" spans="1:25" x14ac:dyDescent="0.3">
      <c r="A24" s="4" t="s">
        <v>25</v>
      </c>
      <c r="B24" s="4" t="s">
        <v>26</v>
      </c>
      <c r="C24" s="8">
        <v>4</v>
      </c>
      <c r="D24" s="28" t="s">
        <v>283</v>
      </c>
      <c r="E24" s="8" t="s">
        <v>283</v>
      </c>
      <c r="F24" s="8" t="s">
        <v>283</v>
      </c>
      <c r="G24" s="8" t="s">
        <v>283</v>
      </c>
      <c r="H24" s="8" t="s">
        <v>283</v>
      </c>
      <c r="I24" s="8" t="s">
        <v>283</v>
      </c>
      <c r="J24" s="8" t="s">
        <v>283</v>
      </c>
      <c r="K24" s="8" t="s">
        <v>283</v>
      </c>
      <c r="L24" s="8" t="s">
        <v>284</v>
      </c>
      <c r="M24" s="8" t="s">
        <v>283</v>
      </c>
      <c r="N24" s="8" t="s">
        <v>283</v>
      </c>
      <c r="O24" s="8" t="s">
        <v>283</v>
      </c>
      <c r="P24" s="8" t="s">
        <v>283</v>
      </c>
      <c r="Q24" s="8" t="s">
        <v>284</v>
      </c>
      <c r="R24" s="8" t="s">
        <v>283</v>
      </c>
      <c r="S24" s="8" t="s">
        <v>283</v>
      </c>
      <c r="T24" s="8" t="s">
        <v>284</v>
      </c>
      <c r="U24" s="8" t="s">
        <v>283</v>
      </c>
      <c r="V24" s="8" t="s">
        <v>283</v>
      </c>
      <c r="W24" s="8" t="s">
        <v>283</v>
      </c>
      <c r="X24" s="29" t="s">
        <v>283</v>
      </c>
      <c r="Y24" s="22">
        <f t="shared" si="0"/>
        <v>3</v>
      </c>
    </row>
    <row r="25" spans="1:25" x14ac:dyDescent="0.3">
      <c r="A25" s="5" t="s">
        <v>25</v>
      </c>
      <c r="B25" s="5" t="s">
        <v>39</v>
      </c>
      <c r="C25" s="9">
        <v>4</v>
      </c>
      <c r="D25" s="26" t="s">
        <v>283</v>
      </c>
      <c r="E25" s="9" t="s">
        <v>283</v>
      </c>
      <c r="F25" s="9" t="s">
        <v>283</v>
      </c>
      <c r="G25" s="9" t="s">
        <v>283</v>
      </c>
      <c r="H25" s="9" t="s">
        <v>284</v>
      </c>
      <c r="I25" s="9" t="s">
        <v>283</v>
      </c>
      <c r="J25" s="9" t="s">
        <v>283</v>
      </c>
      <c r="K25" s="9" t="s">
        <v>283</v>
      </c>
      <c r="L25" s="9" t="s">
        <v>284</v>
      </c>
      <c r="M25" s="9" t="s">
        <v>283</v>
      </c>
      <c r="N25" s="9" t="s">
        <v>283</v>
      </c>
      <c r="O25" s="9" t="s">
        <v>283</v>
      </c>
      <c r="P25" s="9" t="s">
        <v>283</v>
      </c>
      <c r="Q25" s="9" t="s">
        <v>283</v>
      </c>
      <c r="R25" s="9" t="s">
        <v>283</v>
      </c>
      <c r="S25" s="9" t="s">
        <v>283</v>
      </c>
      <c r="T25" s="9" t="s">
        <v>284</v>
      </c>
      <c r="U25" s="9" t="s">
        <v>283</v>
      </c>
      <c r="V25" s="9" t="s">
        <v>284</v>
      </c>
      <c r="W25" s="9" t="s">
        <v>283</v>
      </c>
      <c r="X25" s="27" t="s">
        <v>283</v>
      </c>
      <c r="Y25" s="22">
        <f t="shared" si="0"/>
        <v>4</v>
      </c>
    </row>
    <row r="26" spans="1:25" x14ac:dyDescent="0.3">
      <c r="A26" s="4" t="s">
        <v>25</v>
      </c>
      <c r="B26" s="4" t="s">
        <v>27</v>
      </c>
      <c r="C26" s="8">
        <v>4</v>
      </c>
      <c r="D26" s="28" t="s">
        <v>283</v>
      </c>
      <c r="E26" s="8" t="s">
        <v>283</v>
      </c>
      <c r="F26" s="8" t="s">
        <v>283</v>
      </c>
      <c r="G26" s="8" t="s">
        <v>283</v>
      </c>
      <c r="H26" s="8" t="s">
        <v>283</v>
      </c>
      <c r="I26" s="8" t="s">
        <v>283</v>
      </c>
      <c r="J26" s="8" t="s">
        <v>283</v>
      </c>
      <c r="K26" s="8" t="s">
        <v>283</v>
      </c>
      <c r="L26" s="8" t="s">
        <v>283</v>
      </c>
      <c r="M26" s="8" t="s">
        <v>283</v>
      </c>
      <c r="N26" s="8" t="s">
        <v>283</v>
      </c>
      <c r="O26" s="8" t="s">
        <v>283</v>
      </c>
      <c r="P26" s="8" t="s">
        <v>283</v>
      </c>
      <c r="Q26" s="8" t="s">
        <v>284</v>
      </c>
      <c r="R26" s="8" t="s">
        <v>283</v>
      </c>
      <c r="S26" s="8" t="s">
        <v>283</v>
      </c>
      <c r="T26" s="8" t="s">
        <v>284</v>
      </c>
      <c r="U26" s="8" t="s">
        <v>283</v>
      </c>
      <c r="V26" s="8" t="s">
        <v>283</v>
      </c>
      <c r="W26" s="8" t="s">
        <v>283</v>
      </c>
      <c r="X26" s="29" t="s">
        <v>283</v>
      </c>
      <c r="Y26" s="22">
        <f t="shared" si="0"/>
        <v>2</v>
      </c>
    </row>
    <row r="27" spans="1:25" x14ac:dyDescent="0.3">
      <c r="A27" s="4" t="s">
        <v>25</v>
      </c>
      <c r="B27" s="4" t="s">
        <v>29</v>
      </c>
      <c r="C27" s="8">
        <v>4</v>
      </c>
      <c r="D27" s="28" t="s">
        <v>283</v>
      </c>
      <c r="E27" s="8" t="s">
        <v>284</v>
      </c>
      <c r="F27" s="8" t="s">
        <v>283</v>
      </c>
      <c r="G27" s="8" t="s">
        <v>283</v>
      </c>
      <c r="H27" s="8" t="s">
        <v>284</v>
      </c>
      <c r="I27" s="8" t="s">
        <v>283</v>
      </c>
      <c r="J27" s="8" t="s">
        <v>283</v>
      </c>
      <c r="K27" s="8" t="s">
        <v>283</v>
      </c>
      <c r="L27" s="8" t="s">
        <v>284</v>
      </c>
      <c r="M27" s="8" t="s">
        <v>283</v>
      </c>
      <c r="N27" s="8" t="s">
        <v>283</v>
      </c>
      <c r="O27" s="8" t="s">
        <v>283</v>
      </c>
      <c r="P27" s="8" t="s">
        <v>283</v>
      </c>
      <c r="Q27" s="8" t="s">
        <v>283</v>
      </c>
      <c r="R27" s="8" t="s">
        <v>283</v>
      </c>
      <c r="S27" s="8" t="s">
        <v>283</v>
      </c>
      <c r="T27" s="8" t="s">
        <v>284</v>
      </c>
      <c r="U27" s="8" t="s">
        <v>283</v>
      </c>
      <c r="V27" s="8" t="s">
        <v>284</v>
      </c>
      <c r="W27" s="8" t="s">
        <v>283</v>
      </c>
      <c r="X27" s="29" t="s">
        <v>283</v>
      </c>
      <c r="Y27" s="22">
        <f t="shared" si="0"/>
        <v>5</v>
      </c>
    </row>
    <row r="28" spans="1:25" x14ac:dyDescent="0.3">
      <c r="A28" s="5" t="s">
        <v>25</v>
      </c>
      <c r="B28" s="5" t="s">
        <v>208</v>
      </c>
      <c r="C28" s="9">
        <v>4</v>
      </c>
      <c r="D28" s="26" t="s">
        <v>283</v>
      </c>
      <c r="E28" s="9" t="s">
        <v>283</v>
      </c>
      <c r="F28" s="9" t="s">
        <v>283</v>
      </c>
      <c r="G28" s="9" t="s">
        <v>283</v>
      </c>
      <c r="H28" s="9" t="s">
        <v>283</v>
      </c>
      <c r="I28" s="9" t="s">
        <v>284</v>
      </c>
      <c r="J28" s="9" t="s">
        <v>283</v>
      </c>
      <c r="K28" s="9" t="s">
        <v>283</v>
      </c>
      <c r="L28" s="9" t="s">
        <v>284</v>
      </c>
      <c r="M28" s="9" t="s">
        <v>283</v>
      </c>
      <c r="N28" s="9" t="s">
        <v>283</v>
      </c>
      <c r="O28" s="9" t="s">
        <v>284</v>
      </c>
      <c r="P28" s="9" t="s">
        <v>283</v>
      </c>
      <c r="Q28" s="9" t="s">
        <v>283</v>
      </c>
      <c r="R28" s="9" t="s">
        <v>283</v>
      </c>
      <c r="S28" s="9" t="s">
        <v>283</v>
      </c>
      <c r="T28" s="9" t="s">
        <v>283</v>
      </c>
      <c r="U28" s="9" t="s">
        <v>283</v>
      </c>
      <c r="V28" s="9" t="s">
        <v>284</v>
      </c>
      <c r="W28" s="9" t="s">
        <v>283</v>
      </c>
      <c r="X28" s="27" t="s">
        <v>283</v>
      </c>
      <c r="Y28" s="22">
        <f t="shared" si="0"/>
        <v>4</v>
      </c>
    </row>
    <row r="29" spans="1:25" x14ac:dyDescent="0.3">
      <c r="A29" s="4" t="s">
        <v>25</v>
      </c>
      <c r="B29" s="4" t="s">
        <v>196</v>
      </c>
      <c r="C29" s="8">
        <v>5</v>
      </c>
      <c r="D29" s="28" t="s">
        <v>283</v>
      </c>
      <c r="E29" s="8" t="s">
        <v>283</v>
      </c>
      <c r="F29" s="8" t="s">
        <v>283</v>
      </c>
      <c r="G29" s="8" t="s">
        <v>283</v>
      </c>
      <c r="H29" s="8" t="s">
        <v>283</v>
      </c>
      <c r="I29" s="8" t="s">
        <v>283</v>
      </c>
      <c r="J29" s="8" t="s">
        <v>283</v>
      </c>
      <c r="K29" s="8" t="s">
        <v>283</v>
      </c>
      <c r="L29" s="8" t="s">
        <v>283</v>
      </c>
      <c r="M29" s="8" t="s">
        <v>283</v>
      </c>
      <c r="N29" s="8" t="s">
        <v>283</v>
      </c>
      <c r="O29" s="8" t="s">
        <v>283</v>
      </c>
      <c r="P29" s="8" t="s">
        <v>283</v>
      </c>
      <c r="Q29" s="8" t="s">
        <v>283</v>
      </c>
      <c r="R29" s="8" t="s">
        <v>283</v>
      </c>
      <c r="S29" s="8" t="s">
        <v>283</v>
      </c>
      <c r="T29" s="8" t="s">
        <v>284</v>
      </c>
      <c r="U29" s="8" t="s">
        <v>283</v>
      </c>
      <c r="V29" s="8" t="s">
        <v>283</v>
      </c>
      <c r="W29" s="8" t="s">
        <v>283</v>
      </c>
      <c r="X29" s="29" t="s">
        <v>283</v>
      </c>
      <c r="Y29" s="22">
        <f t="shared" si="0"/>
        <v>1</v>
      </c>
    </row>
    <row r="30" spans="1:25" x14ac:dyDescent="0.3">
      <c r="A30" s="4" t="s">
        <v>25</v>
      </c>
      <c r="B30" s="4" t="s">
        <v>114</v>
      </c>
      <c r="C30" s="8">
        <v>7</v>
      </c>
      <c r="D30" s="46" t="s">
        <v>283</v>
      </c>
      <c r="E30" s="48" t="s">
        <v>283</v>
      </c>
      <c r="F30" s="48" t="s">
        <v>283</v>
      </c>
      <c r="G30" s="48" t="s">
        <v>283</v>
      </c>
      <c r="H30" s="48" t="s">
        <v>283</v>
      </c>
      <c r="I30" s="48" t="s">
        <v>283</v>
      </c>
      <c r="J30" s="48" t="s">
        <v>283</v>
      </c>
      <c r="K30" s="48" t="s">
        <v>283</v>
      </c>
      <c r="L30" s="48" t="s">
        <v>283</v>
      </c>
      <c r="M30" s="48" t="s">
        <v>283</v>
      </c>
      <c r="N30" s="48" t="s">
        <v>283</v>
      </c>
      <c r="O30" s="48" t="s">
        <v>283</v>
      </c>
      <c r="P30" s="48" t="s">
        <v>283</v>
      </c>
      <c r="Q30" s="48" t="s">
        <v>283</v>
      </c>
      <c r="R30" s="48" t="s">
        <v>283</v>
      </c>
      <c r="S30" s="48" t="s">
        <v>283</v>
      </c>
      <c r="T30" s="48" t="s">
        <v>284</v>
      </c>
      <c r="U30" s="48" t="s">
        <v>283</v>
      </c>
      <c r="V30" s="48" t="s">
        <v>283</v>
      </c>
      <c r="W30" s="48" t="s">
        <v>283</v>
      </c>
      <c r="X30" s="50" t="s">
        <v>283</v>
      </c>
      <c r="Y30" s="30">
        <f t="shared" si="0"/>
        <v>1</v>
      </c>
    </row>
    <row r="31" spans="1:25" x14ac:dyDescent="0.3">
      <c r="A31" s="21" t="s">
        <v>282</v>
      </c>
      <c r="B31" s="21"/>
      <c r="C31" s="20"/>
      <c r="D31" s="20">
        <f t="shared" ref="D31:X31" si="1">COUNTIF(D2:D30,"R")</f>
        <v>13</v>
      </c>
      <c r="E31" s="20">
        <f t="shared" si="1"/>
        <v>14</v>
      </c>
      <c r="F31" s="20">
        <f t="shared" si="1"/>
        <v>11</v>
      </c>
      <c r="G31" s="20">
        <f t="shared" si="1"/>
        <v>11</v>
      </c>
      <c r="H31" s="20">
        <f t="shared" si="1"/>
        <v>14</v>
      </c>
      <c r="I31" s="20">
        <f t="shared" si="1"/>
        <v>4</v>
      </c>
      <c r="J31" s="20">
        <f t="shared" si="1"/>
        <v>6</v>
      </c>
      <c r="K31" s="20">
        <f t="shared" si="1"/>
        <v>6</v>
      </c>
      <c r="L31" s="20">
        <f t="shared" si="1"/>
        <v>10</v>
      </c>
      <c r="M31" s="20">
        <f t="shared" si="1"/>
        <v>5</v>
      </c>
      <c r="N31" s="20">
        <f t="shared" si="1"/>
        <v>6</v>
      </c>
      <c r="O31" s="20">
        <f t="shared" si="1"/>
        <v>5</v>
      </c>
      <c r="P31" s="20">
        <f t="shared" si="1"/>
        <v>4</v>
      </c>
      <c r="Q31" s="20">
        <f t="shared" si="1"/>
        <v>9</v>
      </c>
      <c r="R31" s="20">
        <f t="shared" si="1"/>
        <v>4</v>
      </c>
      <c r="S31" s="20">
        <f t="shared" si="1"/>
        <v>6</v>
      </c>
      <c r="T31" s="20">
        <f t="shared" si="1"/>
        <v>18</v>
      </c>
      <c r="U31" s="20">
        <f t="shared" si="1"/>
        <v>0</v>
      </c>
      <c r="V31" s="20">
        <f t="shared" si="1"/>
        <v>7</v>
      </c>
      <c r="W31" s="20">
        <f t="shared" si="1"/>
        <v>1</v>
      </c>
      <c r="X31" s="31">
        <f t="shared" si="1"/>
        <v>7</v>
      </c>
      <c r="Y31" s="19"/>
    </row>
  </sheetData>
  <conditionalFormatting sqref="D2:X30">
    <cfRule type="cellIs" dxfId="1" priority="1" operator="equal">
      <formula>"S"</formula>
    </cfRule>
    <cfRule type="cellIs" dxfId="0" priority="2" operator="equal">
      <formula>"R"</formula>
    </cfRule>
  </conditionalFormatting>
  <hyperlinks>
    <hyperlink ref="B2" r:id="rId1" display="https://www.ncbi.nlm.nih.gov/datasets/taxonomy/572418" xr:uid="{F674F09C-7A79-4460-89E9-81392DF6D8FF}"/>
    <hyperlink ref="B19" r:id="rId2" xr:uid="{3A44DBBB-0042-41F1-8B4E-1045F5B70C62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450DF3087CA84FB359B8D1EE99D14D" ma:contentTypeVersion="6" ma:contentTypeDescription="Crear nuevo documento." ma:contentTypeScope="" ma:versionID="94676ea8b4c8d6c4bb93bd1724baa49d">
  <xsd:schema xmlns:xsd="http://www.w3.org/2001/XMLSchema" xmlns:xs="http://www.w3.org/2001/XMLSchema" xmlns:p="http://schemas.microsoft.com/office/2006/metadata/properties" xmlns:ns3="8b20aafa-454a-42ec-b406-017705b99416" targetNamespace="http://schemas.microsoft.com/office/2006/metadata/properties" ma:root="true" ma:fieldsID="07a629e46fdaf21c2af335c500790209" ns3:_="">
    <xsd:import namespace="8b20aafa-454a-42ec-b406-017705b9941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20aafa-454a-42ec-b406-017705b994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20aafa-454a-42ec-b406-017705b99416" xsi:nil="true"/>
  </documentManagement>
</p:properties>
</file>

<file path=customXml/itemProps1.xml><?xml version="1.0" encoding="utf-8"?>
<ds:datastoreItem xmlns:ds="http://schemas.openxmlformats.org/officeDocument/2006/customXml" ds:itemID="{96566BA5-0DDE-4BE7-8A31-019D82421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20aafa-454a-42ec-b406-017705b99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BD371B-9136-449E-AE1D-DA560126363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A085EBC-4973-430D-8174-A24F773AB16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E15126F-DBC0-4991-9B20-2FB3601683A2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8b20aafa-454a-42ec-b406-017705b994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Taula cepes</vt:lpstr>
      <vt:lpstr>Llinatges i factors</vt:lpstr>
      <vt:lpstr>Antibiotics prediction (BV-BCR)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Yero Corona</dc:creator>
  <cp:lastModifiedBy>Pau Solé Sánchez</cp:lastModifiedBy>
  <dcterms:created xsi:type="dcterms:W3CDTF">2025-01-29T08:29:09Z</dcterms:created>
  <dcterms:modified xsi:type="dcterms:W3CDTF">2026-05-25T21:16:47Z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0x01010002450DF3087CA84FB359B8D1EE99D14D</vt:lpwstr>
  </property>
</Properties>
</file>